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年間サマリー" sheetId="1" state="visible" r:id="rId1"/>
    <sheet name="1月" sheetId="2" state="visible" r:id="rId2"/>
    <sheet name="2月" sheetId="3" state="visible" r:id="rId3"/>
    <sheet name="3月" sheetId="4" state="visible" r:id="rId4"/>
    <sheet name="4月" sheetId="5" state="visible" r:id="rId5"/>
    <sheet name="5月" sheetId="6" state="visible" r:id="rId6"/>
    <sheet name="6月" sheetId="7" state="visible" r:id="rId7"/>
    <sheet name="7月" sheetId="8" state="visible" r:id="rId8"/>
    <sheet name="8月" sheetId="9" state="visible" r:id="rId9"/>
    <sheet name="9月" sheetId="10" state="visible" r:id="rId10"/>
    <sheet name="10月" sheetId="11" state="visible" r:id="rId11"/>
    <sheet name="11月" sheetId="12" state="visible" r:id="rId12"/>
    <sheet name="12月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¥#,##0;[RED]&quot;-¥&quot;#,##0;\¥0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color rgb="FF1F3A5F"/>
      <sz val="14"/>
    </font>
    <font>
      <name val="Noto Sans CJK SC"/>
      <charset val="1"/>
      <family val="2"/>
      <color rgb="FF666666"/>
      <sz val="9"/>
    </font>
    <font>
      <name val="Noto Sans CJK SC"/>
      <charset val="1"/>
      <family val="2"/>
      <b val="1"/>
      <color rgb="FFFFFFFF"/>
      <sz val="11"/>
    </font>
    <font>
      <name val="Yu Gothic"/>
      <charset val="128"/>
      <family val="3"/>
      <b val="1"/>
      <color rgb="FFFFFFFF"/>
      <sz val="11"/>
    </font>
    <font>
      <name val="Noto Sans CJK SC"/>
      <family val="2"/>
      <b val="1"/>
      <color rgb="FFFFFFFF"/>
      <sz val="11"/>
    </font>
    <font>
      <name val="Noto Sans CJK SC"/>
      <charset val="1"/>
      <family val="2"/>
      <b val="1"/>
      <color rgb="FFFFFFFF"/>
      <sz val="10"/>
    </font>
    <font>
      <name val="Noto Sans CJK SC"/>
      <charset val="1"/>
      <family val="2"/>
      <b val="1"/>
      <color rgb="FF2E8B7A"/>
      <sz val="10"/>
    </font>
    <font>
      <name val="Yu Gothic"/>
      <charset val="128"/>
      <family val="3"/>
      <sz val="10"/>
    </font>
    <font>
      <name val="Yu Gothic"/>
      <charset val="128"/>
      <family val="3"/>
      <b val="1"/>
      <sz val="10"/>
    </font>
    <font>
      <name val="Noto Sans CJK SC"/>
      <charset val="1"/>
      <family val="2"/>
      <sz val="10"/>
    </font>
    <font>
      <name val="Yu Gothic"/>
      <charset val="128"/>
      <family val="3"/>
      <b val="1"/>
      <sz val="11"/>
    </font>
    <font>
      <name val="Yu Gothic"/>
      <charset val="128"/>
      <family val="3"/>
      <b val="1"/>
      <color rgb="FFC00000"/>
      <sz val="11"/>
    </font>
    <font>
      <name val="Noto Sans CJK SC"/>
      <charset val="1"/>
      <family val="2"/>
      <color rgb="FF333333"/>
      <sz val="9"/>
    </font>
    <font>
      <name val="Noto Sans CJK SC"/>
      <charset val="1"/>
      <family val="2"/>
      <b val="1"/>
      <color rgb="FFC00000"/>
      <sz val="9"/>
    </font>
    <font>
      <name val="Yu Gothic"/>
      <charset val="128"/>
      <family val="3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2E8B7A"/>
        <bgColor rgb="FF008080"/>
      </patternFill>
    </fill>
    <fill>
      <patternFill patternType="solid">
        <fgColor rgb="FFE6F4EA"/>
        <bgColor rgb="FFF2F2F2"/>
      </patternFill>
    </fill>
    <fill>
      <patternFill patternType="solid">
        <fgColor rgb="FFFFFFCC"/>
        <bgColor rgb="FFFFF4E0"/>
      </patternFill>
    </fill>
    <fill>
      <patternFill patternType="solid">
        <fgColor rgb="FFF2F2F2"/>
        <bgColor rgb="FFE8F0FF"/>
      </patternFill>
    </fill>
    <fill>
      <patternFill patternType="solid">
        <fgColor rgb="FFC9A96E"/>
        <bgColor rgb="FFBFBFBF"/>
      </patternFill>
    </fill>
    <fill>
      <patternFill patternType="solid">
        <fgColor rgb="FFFFF4E0"/>
        <bgColor rgb="FFF2F2F2"/>
      </patternFill>
    </fill>
    <fill>
      <patternFill patternType="solid">
        <fgColor rgb="FFE8F0FF"/>
        <bgColor rgb="FFF2F2F2"/>
      </patternFill>
    </fill>
    <fill>
      <patternFill patternType="solid">
        <fgColor rgb="FFD4EDE5"/>
        <bgColor rgb="FFE6F4EA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left" vertical="center" indent="1"/>
    </xf>
    <xf numFmtId="164" fontId="11" fillId="4" borderId="1" applyAlignment="1" pivotButton="0" quotePrefix="0" xfId="0">
      <alignment horizontal="right" vertical="center"/>
    </xf>
    <xf numFmtId="164" fontId="12" fillId="5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 indent="1"/>
    </xf>
    <xf numFmtId="0" fontId="11" fillId="4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left" vertical="center" indent="1"/>
    </xf>
    <xf numFmtId="164" fontId="11" fillId="6" borderId="1" applyAlignment="1" pivotButton="0" quotePrefix="0" xfId="0">
      <alignment horizontal="right" vertical="center"/>
    </xf>
    <xf numFmtId="0" fontId="6" fillId="7" borderId="0" applyAlignment="1" pivotButton="0" quotePrefix="0" xfId="0">
      <alignment horizontal="left" vertical="center" indent="1"/>
    </xf>
    <xf numFmtId="164" fontId="12" fillId="8" borderId="1" applyAlignment="1" pivotButton="0" quotePrefix="0" xfId="0">
      <alignment horizontal="right" vertical="center"/>
    </xf>
    <xf numFmtId="164" fontId="14" fillId="8" borderId="1" applyAlignment="1" pivotButton="0" quotePrefix="0" xfId="0">
      <alignment horizontal="right" vertical="center"/>
    </xf>
    <xf numFmtId="0" fontId="9" fillId="3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center" indent="1"/>
    </xf>
    <xf numFmtId="9" fontId="15" fillId="9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13" fillId="0" borderId="1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 indent="1"/>
    </xf>
    <xf numFmtId="164" fontId="11" fillId="10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9" fontId="11" fillId="0" borderId="1" applyAlignment="1" pivotButton="0" quotePrefix="0" xfId="0">
      <alignment horizontal="right" vertical="center"/>
    </xf>
    <xf numFmtId="164" fontId="11" fillId="9" borderId="1" applyAlignment="1" pivotButton="0" quotePrefix="0" xfId="0">
      <alignment horizontal="right" vertical="center"/>
    </xf>
    <xf numFmtId="0" fontId="11" fillId="9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 indent="1"/>
    </xf>
    <xf numFmtId="0" fontId="0" fillId="7" borderId="1" applyAlignment="1" pivotButton="0" quotePrefix="0" xfId="0">
      <alignment horizontal="general" vertical="bottom"/>
    </xf>
    <xf numFmtId="164" fontId="18" fillId="7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left" vertical="center" indent="1"/>
    </xf>
    <xf numFmtId="164" fontId="11" fillId="4" borderId="1" applyAlignment="1" pivotButton="0" quotePrefix="0" xfId="0">
      <alignment horizontal="right" vertical="center"/>
    </xf>
    <xf numFmtId="164" fontId="12" fillId="5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 indent="1"/>
    </xf>
    <xf numFmtId="0" fontId="11" fillId="4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right" vertical="center"/>
    </xf>
    <xf numFmtId="164" fontId="11" fillId="6" borderId="1" applyAlignment="1" pivotButton="0" quotePrefix="0" xfId="0">
      <alignment horizontal="right" vertical="center"/>
    </xf>
    <xf numFmtId="0" fontId="6" fillId="7" borderId="0" applyAlignment="1" pivotButton="0" quotePrefix="0" xfId="0">
      <alignment horizontal="left" vertical="center" indent="1"/>
    </xf>
    <xf numFmtId="164" fontId="12" fillId="8" borderId="1" applyAlignment="1" pivotButton="0" quotePrefix="0" xfId="0">
      <alignment horizontal="right" vertical="center"/>
    </xf>
    <xf numFmtId="164" fontId="14" fillId="8" borderId="1" applyAlignment="1" pivotButton="0" quotePrefix="0" xfId="0">
      <alignment horizontal="right" vertical="center"/>
    </xf>
    <xf numFmtId="0" fontId="9" fillId="3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center" indent="1"/>
    </xf>
    <xf numFmtId="9" fontId="15" fillId="9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0" fillId="0" borderId="2" pivotButton="0" quotePrefix="0" xfId="0"/>
    <xf numFmtId="0" fontId="0" fillId="0" borderId="3" pivotButton="0" quotePrefix="0" xfId="0"/>
    <xf numFmtId="0" fontId="13" fillId="0" borderId="1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 indent="1"/>
    </xf>
    <xf numFmtId="164" fontId="11" fillId="10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9" fontId="11" fillId="0" borderId="1" applyAlignment="1" pivotButton="0" quotePrefix="0" xfId="0">
      <alignment horizontal="right" vertical="center"/>
    </xf>
    <xf numFmtId="164" fontId="11" fillId="9" borderId="1" applyAlignment="1" pivotButton="0" quotePrefix="0" xfId="0">
      <alignment horizontal="right" vertical="center"/>
    </xf>
    <xf numFmtId="0" fontId="11" fillId="9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 indent="1"/>
    </xf>
    <xf numFmtId="0" fontId="0" fillId="7" borderId="1" applyAlignment="1" pivotButton="0" quotePrefix="0" xfId="0">
      <alignment horizontal="general" vertical="bottom"/>
    </xf>
    <xf numFmtId="164" fontId="18" fillId="7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6F4EA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F"/>
      <rgbColor rgb="FFD4EDE5"/>
      <rgbColor rgb="FFFFF4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C9A96E"/>
      <rgbColor rgb="FF1F3A5F"/>
      <rgbColor rgb="FF2E8B7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43"/>
  <sheetViews>
    <sheetView showFormulas="0" showGridLines="1" showRowColHeaders="1" showZeros="1" rightToLeft="0" tabSelected="1" showOutlineSymbols="1" defaultGridColor="1" view="normal" topLeftCell="A1" colorId="64" zoomScale="162" zoomScaleNormal="162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E19" activeCellId="0" sqref="E19"/>
    </sheetView>
  </sheetViews>
  <sheetFormatPr baseColWidth="8" defaultColWidth="8.66796875" defaultRowHeight="15" zeroHeight="0" outlineLevelRow="0"/>
  <cols>
    <col width="26" customWidth="1" style="39" min="1" max="1"/>
    <col width="11" customWidth="1" style="39" min="2" max="13"/>
    <col width="13" customWidth="1" style="39" min="14" max="14"/>
    <col width="12" customWidth="1" style="39" min="15" max="15"/>
  </cols>
  <sheetData>
    <row r="1" ht="17.25" customHeight="1" s="40">
      <c r="A1" s="41" t="inlineStr">
        <is>
          <t>松藤華奈 コミッション計算表（年間）</t>
        </is>
      </c>
    </row>
    <row r="2" ht="13.5" customHeight="1" s="40">
      <c r="A2" s="42" t="inlineStr">
        <is>
          <t>単位: 円 / 業務委託フルコミッション</t>
        </is>
      </c>
    </row>
    <row r="3" ht="16.5" customHeight="1" s="40">
      <c r="A3" s="43" t="inlineStr">
        <is>
          <t>項目</t>
        </is>
      </c>
      <c r="B3" s="44" t="inlineStr">
        <is>
          <t>1月</t>
        </is>
      </c>
      <c r="C3" s="44" t="inlineStr">
        <is>
          <t>2月</t>
        </is>
      </c>
      <c r="D3" s="44" t="inlineStr">
        <is>
          <t>3月</t>
        </is>
      </c>
      <c r="E3" s="44" t="inlineStr">
        <is>
          <t>4月</t>
        </is>
      </c>
      <c r="F3" s="44" t="inlineStr">
        <is>
          <t>5月</t>
        </is>
      </c>
      <c r="G3" s="44" t="inlineStr">
        <is>
          <t>6月</t>
        </is>
      </c>
      <c r="H3" s="44" t="inlineStr">
        <is>
          <t>7月</t>
        </is>
      </c>
      <c r="I3" s="44" t="inlineStr">
        <is>
          <t>8月</t>
        </is>
      </c>
      <c r="J3" s="44" t="inlineStr">
        <is>
          <t>9月</t>
        </is>
      </c>
      <c r="K3" s="44" t="inlineStr">
        <is>
          <t>10月</t>
        </is>
      </c>
      <c r="L3" s="44" t="inlineStr">
        <is>
          <t>11月</t>
        </is>
      </c>
      <c r="M3" s="44" t="inlineStr">
        <is>
          <t>12月</t>
        </is>
      </c>
      <c r="N3" s="43" t="inlineStr">
        <is>
          <t>合計</t>
        </is>
      </c>
      <c r="O3" s="43" t="inlineStr">
        <is>
          <t>月平均</t>
        </is>
      </c>
    </row>
    <row r="4" ht="15" customHeight="1" s="40">
      <c r="A4" s="45" t="inlineStr">
        <is>
          <t>【売上入力】</t>
        </is>
      </c>
    </row>
    <row r="5" ht="15" customHeight="1" s="40">
      <c r="A5" s="46" t="inlineStr">
        <is>
          <t>ご自身の顧客売上</t>
        </is>
      </c>
      <c r="B5" s="47">
        <f>1月!B4</f>
        <v/>
      </c>
      <c r="C5" s="47">
        <f>2月!B4</f>
        <v/>
      </c>
      <c r="D5" s="47">
        <f>3月!B4</f>
        <v/>
      </c>
      <c r="E5" s="47">
        <f>4月!B4</f>
        <v/>
      </c>
      <c r="F5" s="47">
        <f>5月!B4</f>
        <v/>
      </c>
      <c r="G5" s="47">
        <f>6月!B4</f>
        <v/>
      </c>
      <c r="H5" s="47">
        <f>7月!B4</f>
        <v/>
      </c>
      <c r="I5" s="47">
        <f>8月!B4</f>
        <v/>
      </c>
      <c r="J5" s="47">
        <f>9月!B4</f>
        <v/>
      </c>
      <c r="K5" s="47">
        <f>10月!B4</f>
        <v/>
      </c>
      <c r="L5" s="47">
        <f>11月!B4</f>
        <v/>
      </c>
      <c r="M5" s="47">
        <f>12月!B4</f>
        <v/>
      </c>
      <c r="N5" s="48">
        <f>SUM(B5:M5)</f>
        <v/>
      </c>
      <c r="O5" s="48">
        <f>ROUND(N5/12,0)</f>
        <v/>
      </c>
    </row>
    <row r="6" ht="15" customHeight="1" s="40">
      <c r="A6" s="49" t="inlineStr">
        <is>
          <t>施術売上（指名なし）</t>
        </is>
      </c>
      <c r="B6" s="47">
        <f>1月!B5</f>
        <v/>
      </c>
      <c r="C6" s="47">
        <f>2月!B5</f>
        <v/>
      </c>
      <c r="D6" s="47">
        <f>3月!B5</f>
        <v/>
      </c>
      <c r="E6" s="47" t="n">
        <v>417800</v>
      </c>
      <c r="F6" s="47">
        <f>5月!B5</f>
        <v/>
      </c>
      <c r="G6" s="47">
        <f>6月!B5</f>
        <v/>
      </c>
      <c r="H6" s="47">
        <f>7月!B5</f>
        <v/>
      </c>
      <c r="I6" s="47">
        <f>8月!B5</f>
        <v/>
      </c>
      <c r="J6" s="47">
        <f>9月!B5</f>
        <v/>
      </c>
      <c r="K6" s="47">
        <f>10月!B5</f>
        <v/>
      </c>
      <c r="L6" s="47">
        <f>11月!B5</f>
        <v/>
      </c>
      <c r="M6" s="47">
        <f>12月!B5</f>
        <v/>
      </c>
      <c r="N6" s="48">
        <f>SUM(B6:M6)</f>
        <v/>
      </c>
      <c r="O6" s="48">
        <f>ROUND(N6/12,0)</f>
        <v/>
      </c>
    </row>
    <row r="7" ht="15" customHeight="1" s="40">
      <c r="A7" s="49" t="inlineStr">
        <is>
          <t>指名売上</t>
        </is>
      </c>
      <c r="B7" s="47">
        <f>1月!B6</f>
        <v/>
      </c>
      <c r="C7" s="47">
        <f>2月!B6</f>
        <v/>
      </c>
      <c r="D7" s="47">
        <f>3月!B6</f>
        <v/>
      </c>
      <c r="E7" s="47" t="n">
        <v>30000</v>
      </c>
      <c r="F7" s="47">
        <f>5月!B6</f>
        <v/>
      </c>
      <c r="G7" s="47">
        <f>6月!B6</f>
        <v/>
      </c>
      <c r="H7" s="47">
        <f>7月!B6</f>
        <v/>
      </c>
      <c r="I7" s="47">
        <f>8月!B6</f>
        <v/>
      </c>
      <c r="J7" s="47">
        <f>9月!B6</f>
        <v/>
      </c>
      <c r="K7" s="47">
        <f>10月!B6</f>
        <v/>
      </c>
      <c r="L7" s="47">
        <f>11月!B6</f>
        <v/>
      </c>
      <c r="M7" s="47">
        <f>12月!B6</f>
        <v/>
      </c>
      <c r="N7" s="48">
        <f>SUM(B7:M7)</f>
        <v/>
      </c>
      <c r="O7" s="48">
        <f>ROUND(N7/12,0)</f>
        <v/>
      </c>
    </row>
    <row r="8" ht="15" customHeight="1" s="40">
      <c r="A8" s="49" t="inlineStr">
        <is>
          <t>店販売上</t>
        </is>
      </c>
      <c r="B8" s="47">
        <f>1月!B7</f>
        <v/>
      </c>
      <c r="C8" s="47">
        <f>2月!B7</f>
        <v/>
      </c>
      <c r="D8" s="47">
        <f>3月!B7</f>
        <v/>
      </c>
      <c r="E8" s="47">
        <f>4月!B7</f>
        <v/>
      </c>
      <c r="F8" s="47">
        <f>5月!B7</f>
        <v/>
      </c>
      <c r="G8" s="47">
        <f>6月!B7</f>
        <v/>
      </c>
      <c r="H8" s="47">
        <f>7月!B7</f>
        <v/>
      </c>
      <c r="I8" s="47">
        <f>8月!B7</f>
        <v/>
      </c>
      <c r="J8" s="47">
        <f>9月!B7</f>
        <v/>
      </c>
      <c r="K8" s="47">
        <f>10月!B7</f>
        <v/>
      </c>
      <c r="L8" s="47">
        <f>11月!B7</f>
        <v/>
      </c>
      <c r="M8" s="47">
        <f>12月!B7</f>
        <v/>
      </c>
      <c r="N8" s="48">
        <f>SUM(B8:M8)</f>
        <v/>
      </c>
      <c r="O8" s="48">
        <f>ROUND(N8/12,0)</f>
        <v/>
      </c>
    </row>
    <row r="9" ht="15" customHeight="1" s="40">
      <c r="A9" s="49" t="inlineStr">
        <is>
          <t>オプション売上</t>
        </is>
      </c>
      <c r="B9" s="47">
        <f>1月!B8</f>
        <v/>
      </c>
      <c r="C9" s="47">
        <f>2月!B8</f>
        <v/>
      </c>
      <c r="D9" s="47">
        <f>3月!B8</f>
        <v/>
      </c>
      <c r="E9" s="47">
        <f>4月!B8</f>
        <v/>
      </c>
      <c r="F9" s="47">
        <f>5月!B8</f>
        <v/>
      </c>
      <c r="G9" s="47">
        <f>6月!B8</f>
        <v/>
      </c>
      <c r="H9" s="47">
        <f>7月!B8</f>
        <v/>
      </c>
      <c r="I9" s="47">
        <f>8月!B8</f>
        <v/>
      </c>
      <c r="J9" s="47">
        <f>9月!B8</f>
        <v/>
      </c>
      <c r="K9" s="47">
        <f>10月!B8</f>
        <v/>
      </c>
      <c r="L9" s="47">
        <f>11月!B8</f>
        <v/>
      </c>
      <c r="M9" s="47">
        <f>12月!B8</f>
        <v/>
      </c>
      <c r="N9" s="48">
        <f>SUM(B9:M9)</f>
        <v/>
      </c>
      <c r="O9" s="48">
        <f>ROUND(N9/12,0)</f>
        <v/>
      </c>
    </row>
    <row r="10" ht="15" customHeight="1" s="40">
      <c r="A10" s="49" t="inlineStr">
        <is>
          <t>勤務日数</t>
        </is>
      </c>
      <c r="B10" s="50">
        <f>1月!B11</f>
        <v/>
      </c>
      <c r="C10" s="50">
        <f>2月!B11</f>
        <v/>
      </c>
      <c r="D10" s="50">
        <f>3月!B11</f>
        <v/>
      </c>
      <c r="E10" s="50" t="n">
        <v>21</v>
      </c>
      <c r="F10" s="50">
        <f>5月!B11</f>
        <v/>
      </c>
      <c r="G10" s="50">
        <f>6月!B11</f>
        <v/>
      </c>
      <c r="H10" s="50">
        <f>7月!B11</f>
        <v/>
      </c>
      <c r="I10" s="50">
        <f>8月!B11</f>
        <v/>
      </c>
      <c r="J10" s="50">
        <f>9月!B11</f>
        <v/>
      </c>
      <c r="K10" s="50">
        <f>10月!B11</f>
        <v/>
      </c>
      <c r="L10" s="50">
        <f>11月!B11</f>
        <v/>
      </c>
      <c r="M10" s="50">
        <f>12月!B11</f>
        <v/>
      </c>
      <c r="N10" s="51">
        <f>SUM(B10:M10)</f>
        <v/>
      </c>
      <c r="O10" s="51">
        <f>ROUND(N10/12,0)</f>
        <v/>
      </c>
    </row>
    <row r="11" ht="15" customHeight="1" s="40">
      <c r="A11" s="49" t="inlineStr">
        <is>
          <t>片道運賃（円）</t>
        </is>
      </c>
      <c r="B11" s="47">
        <f>1月!B12</f>
        <v/>
      </c>
      <c r="C11" s="47">
        <f>2月!B12</f>
        <v/>
      </c>
      <c r="D11" s="47">
        <f>3月!B12</f>
        <v/>
      </c>
      <c r="E11" s="47">
        <f>4月!B12</f>
        <v/>
      </c>
      <c r="F11" s="47">
        <f>5月!B12</f>
        <v/>
      </c>
      <c r="G11" s="47">
        <f>6月!B12</f>
        <v/>
      </c>
      <c r="H11" s="47">
        <f>7月!B12</f>
        <v/>
      </c>
      <c r="I11" s="47">
        <f>8月!B12</f>
        <v/>
      </c>
      <c r="J11" s="47">
        <f>9月!B12</f>
        <v/>
      </c>
      <c r="K11" s="47">
        <f>10月!B12</f>
        <v/>
      </c>
      <c r="L11" s="47">
        <f>11月!B12</f>
        <v/>
      </c>
      <c r="M11" s="47">
        <f>12月!B12</f>
        <v/>
      </c>
      <c r="N11" s="48">
        <f>SUM(B11:M11)</f>
        <v/>
      </c>
      <c r="O11" s="48">
        <f>ROUND(N11/12,0)</f>
        <v/>
      </c>
    </row>
    <row r="12" ht="15" customHeight="1" s="40">
      <c r="A12" s="39" t="n"/>
    </row>
    <row r="13" ht="15" customHeight="1" s="40">
      <c r="A13" s="45" t="inlineStr">
        <is>
          <t>【コミッション計算】</t>
        </is>
      </c>
    </row>
    <row r="14" ht="15" customHeight="1" s="40">
      <c r="A14" s="46" t="inlineStr">
        <is>
          <t>ご自身の顧客コミッション</t>
        </is>
      </c>
      <c r="B14" s="52">
        <f>ROUNDDOWN(B5*(1-$B$29)*$B$25,0)</f>
        <v/>
      </c>
      <c r="C14" s="52">
        <f>ROUNDDOWN(C5*(1-$B$29)*$B$25,0)</f>
        <v/>
      </c>
      <c r="D14" s="52">
        <f>ROUNDDOWN(D5*(1-$B$29)*$B$25,0)</f>
        <v/>
      </c>
      <c r="E14" s="52">
        <f>ROUNDDOWN(E5*(1-$B$29)*$B$25,0)</f>
        <v/>
      </c>
      <c r="F14" s="52">
        <f>ROUNDDOWN(F5*(1-$B$29)*$B$25,0)</f>
        <v/>
      </c>
      <c r="G14" s="52">
        <f>ROUNDDOWN(G5*(1-$B$29)*$B$25,0)</f>
        <v/>
      </c>
      <c r="H14" s="52">
        <f>ROUNDDOWN(H5*(1-$B$29)*0.6,0)</f>
        <v/>
      </c>
      <c r="I14" s="52">
        <f>ROUNDDOWN(I5*(1-$B$29)*0.6,0)</f>
        <v/>
      </c>
      <c r="J14" s="52">
        <f>ROUNDDOWN(J5*(1-$B$29)*$B$25,0)</f>
        <v/>
      </c>
      <c r="K14" s="52">
        <f>ROUNDDOWN(K5*(1-$B$29)*$B$25,0)</f>
        <v/>
      </c>
      <c r="L14" s="52">
        <f>ROUNDDOWN(L5*(1-$B$29)*$B$25,0)</f>
        <v/>
      </c>
      <c r="M14" s="52">
        <f>ROUNDDOWN(M5*(1-$B$29)*$B$25,0)</f>
        <v/>
      </c>
      <c r="N14" s="48">
        <f>SUM(B14:M14)</f>
        <v/>
      </c>
      <c r="O14" s="48">
        <f>ROUND(N14/12,0)</f>
        <v/>
      </c>
    </row>
    <row r="15" ht="15" customHeight="1" s="40">
      <c r="A15" s="49" t="inlineStr">
        <is>
          <t>施術コミッション（指名なし）</t>
        </is>
      </c>
      <c r="B15" s="52">
        <f>ROUNDDOWN(B6*(1-$B$29)*$B$26,0)</f>
        <v/>
      </c>
      <c r="C15" s="52">
        <f>ROUNDDOWN(C6*(1-$B$29)*$B$26,0)</f>
        <v/>
      </c>
      <c r="D15" s="52">
        <f>ROUNDDOWN(D6*(1-$B$29)*$B$26,0)</f>
        <v/>
      </c>
      <c r="E15" s="52">
        <f>ROUNDDOWN(E6*(1-$B$29)*$B$26,0)</f>
        <v/>
      </c>
      <c r="F15" s="52">
        <f>ROUNDDOWN(F6*(1-$B$29)*$B$26,0)</f>
        <v/>
      </c>
      <c r="G15" s="52">
        <f>ROUNDDOWN(G6*(1-$B$29)*$B$26,0)</f>
        <v/>
      </c>
      <c r="H15" s="52">
        <f>ROUNDDOWN(H6*(1-$B$29)*0.4,0)</f>
        <v/>
      </c>
      <c r="I15" s="52">
        <f>ROUNDDOWN(I6*(1-$B$29)*0.4,0)</f>
        <v/>
      </c>
      <c r="J15" s="52">
        <f>ROUNDDOWN(J6*(1-$B$29)*$B$26,0)</f>
        <v/>
      </c>
      <c r="K15" s="52">
        <f>ROUNDDOWN(K6*(1-$B$29)*$B$26,0)</f>
        <v/>
      </c>
      <c r="L15" s="52">
        <f>ROUNDDOWN(L6*(1-$B$29)*$B$26,0)</f>
        <v/>
      </c>
      <c r="M15" s="52">
        <f>ROUNDDOWN(M6*(1-$B$29)*$B$26,0)</f>
        <v/>
      </c>
      <c r="N15" s="48">
        <f>SUM(B15:M15)</f>
        <v/>
      </c>
      <c r="O15" s="48">
        <f>ROUND(N15/12,0)</f>
        <v/>
      </c>
    </row>
    <row r="16" ht="15" customHeight="1" s="40">
      <c r="A16" s="49" t="inlineStr">
        <is>
          <t>指名コミッション</t>
        </is>
      </c>
      <c r="B16" s="52">
        <f>ROUNDDOWN(B7*(1-$B$29)*$B$27,0)</f>
        <v/>
      </c>
      <c r="C16" s="52">
        <f>ROUNDDOWN(C7*(1-$B$29)*$B$27,0)</f>
        <v/>
      </c>
      <c r="D16" s="52">
        <f>ROUNDDOWN(D7*(1-$B$29)*$B$27,0)</f>
        <v/>
      </c>
      <c r="E16" s="52">
        <f>ROUNDDOWN(E7*(1-$B$29)*$B$27,0)</f>
        <v/>
      </c>
      <c r="F16" s="52">
        <f>ROUNDDOWN(F7*(1-$B$29)*$B$27,0)</f>
        <v/>
      </c>
      <c r="G16" s="52">
        <f>ROUNDDOWN(G7*(1-$B$29)*$B$27,0)</f>
        <v/>
      </c>
      <c r="H16" s="52">
        <f>ROUNDDOWN(H7*(1-$B$29)*0.5,0)</f>
        <v/>
      </c>
      <c r="I16" s="52">
        <f>ROUNDDOWN(I7*(1-$B$29)*0.5,0)</f>
        <v/>
      </c>
      <c r="J16" s="52">
        <f>ROUNDDOWN(J7*(1-$B$29)*$B$27,0)</f>
        <v/>
      </c>
      <c r="K16" s="52">
        <f>ROUNDDOWN(K7*(1-$B$29)*$B$27,0)</f>
        <v/>
      </c>
      <c r="L16" s="52">
        <f>ROUNDDOWN(L7*(1-$B$29)*$B$27,0)</f>
        <v/>
      </c>
      <c r="M16" s="52">
        <f>ROUNDDOWN(M7*(1-$B$29)*$B$27,0)</f>
        <v/>
      </c>
      <c r="N16" s="48">
        <f>SUM(B16:M16)</f>
        <v/>
      </c>
      <c r="O16" s="48">
        <f>ROUND(N16/12,0)</f>
        <v/>
      </c>
    </row>
    <row r="17" ht="15" customHeight="1" s="40">
      <c r="A17" s="49" t="inlineStr">
        <is>
          <t>店販コミッション</t>
        </is>
      </c>
      <c r="B17" s="52">
        <f>ROUNDDOWN(B8*$B$28,0)</f>
        <v/>
      </c>
      <c r="C17" s="52">
        <f>ROUNDDOWN(C8*$B$28,0)</f>
        <v/>
      </c>
      <c r="D17" s="52">
        <f>ROUNDDOWN(D8*$B$28,0)</f>
        <v/>
      </c>
      <c r="E17" s="52">
        <f>ROUNDDOWN(E8*$B$28,0)</f>
        <v/>
      </c>
      <c r="F17" s="52">
        <f>ROUNDDOWN(F8*$B$28,0)</f>
        <v/>
      </c>
      <c r="G17" s="52">
        <f>ROUNDDOWN(G8*$B$28,0)</f>
        <v/>
      </c>
      <c r="H17" s="52">
        <f>ROUNDDOWN(H8*0.05,0)</f>
        <v/>
      </c>
      <c r="I17" s="52">
        <f>ROUNDDOWN(I8*0.05,0)</f>
        <v/>
      </c>
      <c r="J17" s="52">
        <f>ROUNDDOWN(J8*$B$28,0)</f>
        <v/>
      </c>
      <c r="K17" s="52">
        <f>ROUNDDOWN(K8*$B$28,0)</f>
        <v/>
      </c>
      <c r="L17" s="52">
        <f>ROUNDDOWN(L8*$B$28,0)</f>
        <v/>
      </c>
      <c r="M17" s="52">
        <f>ROUNDDOWN(M8*$B$28,0)</f>
        <v/>
      </c>
      <c r="N17" s="48">
        <f>SUM(B17:M17)</f>
        <v/>
      </c>
      <c r="O17" s="48">
        <f>ROUND(N17/12,0)</f>
        <v/>
      </c>
    </row>
    <row r="18" ht="15" customHeight="1" s="40">
      <c r="A18" s="49" t="inlineStr">
        <is>
          <t>オプションコミッション</t>
        </is>
      </c>
      <c r="B18" s="52">
        <f>ROUNDDOWN(B9*$B$28,0)</f>
        <v/>
      </c>
      <c r="C18" s="52">
        <f>ROUNDDOWN(C9*$B$28,0)</f>
        <v/>
      </c>
      <c r="D18" s="52">
        <f>ROUNDDOWN(D9*$B$28,0)</f>
        <v/>
      </c>
      <c r="E18" s="52">
        <f>ROUNDDOWN(E9*$B$28,0)</f>
        <v/>
      </c>
      <c r="F18" s="52">
        <f>ROUNDDOWN(F9*$B$28,0)</f>
        <v/>
      </c>
      <c r="G18" s="52">
        <f>ROUNDDOWN(G9*$B$28,0)</f>
        <v/>
      </c>
      <c r="H18" s="52">
        <f>ROUNDDOWN(H9*0.05,0)</f>
        <v/>
      </c>
      <c r="I18" s="52">
        <f>ROUNDDOWN(I9*0.05,0)</f>
        <v/>
      </c>
      <c r="J18" s="52">
        <f>ROUNDDOWN(J9*$B$28,0)</f>
        <v/>
      </c>
      <c r="K18" s="52">
        <f>ROUNDDOWN(K9*$B$28,0)</f>
        <v/>
      </c>
      <c r="L18" s="52">
        <f>ROUNDDOWN(L9*$B$28,0)</f>
        <v/>
      </c>
      <c r="M18" s="52">
        <f>ROUNDDOWN(M9*$B$28,0)</f>
        <v/>
      </c>
      <c r="N18" s="48">
        <f>SUM(B18:M18)</f>
        <v/>
      </c>
      <c r="O18" s="48">
        <f>ROUND(N18/12,0)</f>
        <v/>
      </c>
    </row>
    <row r="19" ht="15" customHeight="1" s="40">
      <c r="A19" s="49" t="inlineStr">
        <is>
          <t>交通費（往復×勤務日）</t>
        </is>
      </c>
      <c r="B19" s="52">
        <f>(B11*2)*B10</f>
        <v/>
      </c>
      <c r="C19" s="52">
        <f>(C11*2)*C10</f>
        <v/>
      </c>
      <c r="D19" s="52">
        <f>(D11*2)*D10</f>
        <v/>
      </c>
      <c r="E19" s="52">
        <f>(E11*2)*E10</f>
        <v/>
      </c>
      <c r="F19" s="52">
        <f>(F11*2)*F10</f>
        <v/>
      </c>
      <c r="G19" s="52">
        <f>(G11*2)*G10</f>
        <v/>
      </c>
      <c r="H19" s="52" t="n">
        <v>0</v>
      </c>
      <c r="I19" s="52" t="n">
        <v>0</v>
      </c>
      <c r="J19" s="52">
        <f>(J11*2)*J10</f>
        <v/>
      </c>
      <c r="K19" s="52">
        <f>(K11*2)*K10</f>
        <v/>
      </c>
      <c r="L19" s="52">
        <f>(L11*2)*L10</f>
        <v/>
      </c>
      <c r="M19" s="52">
        <f>(M11*2)*M10</f>
        <v/>
      </c>
      <c r="N19" s="48">
        <f>SUM(B19:M19)</f>
        <v/>
      </c>
      <c r="O19" s="48">
        <f>ROUND(N19/12,0)</f>
        <v/>
      </c>
    </row>
    <row r="21" ht="15" customHeight="1" s="40">
      <c r="A21" s="53" t="inlineStr">
        <is>
          <t>【支給合計】</t>
        </is>
      </c>
      <c r="B21" s="54">
        <f>SUM(B14:B18)+B19</f>
        <v/>
      </c>
      <c r="C21" s="54">
        <f>SUM(C14:C18)+C19</f>
        <v/>
      </c>
      <c r="D21" s="54">
        <f>SUM(D14:D18)+D19</f>
        <v/>
      </c>
      <c r="E21" s="54">
        <f>SUM(E14:E18)+E19</f>
        <v/>
      </c>
      <c r="F21" s="54">
        <f>SUM(F14:F18)+F19</f>
        <v/>
      </c>
      <c r="G21" s="54">
        <f>SUM(G14:G18)+G19</f>
        <v/>
      </c>
      <c r="H21" s="54">
        <f>SUM(H14:H18)+H19</f>
        <v/>
      </c>
      <c r="I21" s="54">
        <f>SUM(I14:I18)+I19</f>
        <v/>
      </c>
      <c r="J21" s="54">
        <f>SUM(J14:J18)+J19</f>
        <v/>
      </c>
      <c r="K21" s="54">
        <f>SUM(K14:K18)+K19</f>
        <v/>
      </c>
      <c r="L21" s="54">
        <f>SUM(L14:L18)+L19</f>
        <v/>
      </c>
      <c r="M21" s="54">
        <f>SUM(M14:M18)+M19</f>
        <v/>
      </c>
      <c r="N21" s="55">
        <f>SUM(B21:M21)</f>
        <v/>
      </c>
      <c r="O21" s="55">
        <f>ROUND(N21/12,0)</f>
        <v/>
      </c>
    </row>
    <row r="22" ht="15" customHeight="1" s="40">
      <c r="A22" s="39" t="n"/>
    </row>
    <row r="23" ht="15" customHeight="1" s="40">
      <c r="C23" s="39" t="n"/>
    </row>
    <row r="24" ht="15" customHeight="1" s="40">
      <c r="A24" s="56" t="inlineStr">
        <is>
          <t>【コミッション料率設定】</t>
        </is>
      </c>
      <c r="C24" s="39" t="n"/>
    </row>
    <row r="25" ht="15" customHeight="1" s="40">
      <c r="A25" s="57" t="inlineStr">
        <is>
          <t>ご自身の顧客 コミッション料率</t>
        </is>
      </c>
      <c r="B25" s="58" t="n">
        <v>0.7</v>
      </c>
      <c r="C25" s="59" t="inlineStr">
        <is>
          <t>ご自身の顧客売上 × 90%（経費控除後）× この料率</t>
        </is>
      </c>
      <c r="D25" s="60" t="n"/>
      <c r="E25" s="60" t="n"/>
      <c r="F25" s="60" t="n"/>
      <c r="G25" s="60" t="n"/>
      <c r="H25" s="60" t="n"/>
      <c r="I25" s="60" t="n"/>
      <c r="J25" s="60" t="n"/>
      <c r="K25" s="60" t="n"/>
      <c r="L25" s="60" t="n"/>
      <c r="M25" s="60" t="n"/>
      <c r="N25" s="60" t="n"/>
      <c r="O25" s="61" t="n"/>
    </row>
    <row r="26" ht="15" customHeight="1" s="40">
      <c r="A26" s="62" t="inlineStr">
        <is>
          <t>指名なし売上 コミッション料率</t>
        </is>
      </c>
      <c r="B26" s="58" t="n">
        <v>0.5</v>
      </c>
      <c r="C26" s="59" t="inlineStr">
        <is>
          <t>施術売上 × 90%（経費控除後）× この料率</t>
        </is>
      </c>
      <c r="D26" s="60" t="n"/>
      <c r="E26" s="60" t="n"/>
      <c r="F26" s="60" t="n"/>
      <c r="G26" s="60" t="n"/>
      <c r="H26" s="60" t="n"/>
      <c r="I26" s="60" t="n"/>
      <c r="J26" s="60" t="n"/>
      <c r="K26" s="60" t="n"/>
      <c r="L26" s="60" t="n"/>
      <c r="M26" s="60" t="n"/>
      <c r="N26" s="60" t="n"/>
      <c r="O26" s="61" t="n"/>
    </row>
    <row r="27" ht="15" customHeight="1" s="40">
      <c r="A27" s="62" t="inlineStr">
        <is>
          <t>指名売上 コミッション料率</t>
        </is>
      </c>
      <c r="B27" s="58" t="n">
        <v>0.6</v>
      </c>
      <c r="C27" s="59" t="inlineStr">
        <is>
          <t>指名売上 × 90%（経費控除後）× この料率</t>
        </is>
      </c>
      <c r="D27" s="63" t="n"/>
      <c r="E27" s="63" t="n"/>
      <c r="F27" s="63" t="n"/>
      <c r="G27" s="63" t="n"/>
      <c r="H27" s="63" t="n"/>
      <c r="I27" s="63" t="n"/>
      <c r="J27" s="63" t="n"/>
      <c r="K27" s="63" t="n"/>
      <c r="L27" s="63" t="n"/>
      <c r="M27" s="63" t="n"/>
      <c r="N27" s="63" t="n"/>
      <c r="O27" s="64" t="n"/>
    </row>
    <row r="28" ht="15" customHeight="1" s="40">
      <c r="A28" s="62" t="inlineStr">
        <is>
          <t>店販/オプション 料率</t>
        </is>
      </c>
      <c r="B28" s="58" t="n">
        <v>0.1</v>
      </c>
      <c r="C28" s="59" t="inlineStr">
        <is>
          <t>店販/オプション売上 × この料率（経費控除なし）</t>
        </is>
      </c>
      <c r="D28" s="63" t="n"/>
      <c r="E28" s="63" t="n"/>
      <c r="F28" s="63" t="n"/>
      <c r="G28" s="63" t="n"/>
      <c r="H28" s="63" t="n"/>
      <c r="I28" s="63" t="n"/>
      <c r="J28" s="63" t="n"/>
      <c r="K28" s="63" t="n"/>
      <c r="L28" s="63" t="n"/>
      <c r="M28" s="63" t="n"/>
      <c r="N28" s="63" t="n"/>
      <c r="O28" s="64" t="n"/>
    </row>
    <row r="29" ht="15" customHeight="1" s="40">
      <c r="A29" s="62" t="inlineStr">
        <is>
          <t>経費控除率</t>
        </is>
      </c>
      <c r="B29" s="58" t="n">
        <v>0.1</v>
      </c>
      <c r="C29" s="59" t="inlineStr">
        <is>
          <t>施術・指名・ご自身の顧客 売上から差し引く経費率（10%）</t>
        </is>
      </c>
      <c r="D29" s="60" t="n"/>
      <c r="E29" s="60" t="n"/>
      <c r="F29" s="60" t="n"/>
      <c r="G29" s="60" t="n"/>
      <c r="H29" s="60" t="n"/>
      <c r="I29" s="60" t="n"/>
      <c r="J29" s="60" t="n"/>
      <c r="K29" s="60" t="n"/>
      <c r="L29" s="60" t="n"/>
      <c r="M29" s="60" t="n"/>
      <c r="N29" s="60" t="n"/>
      <c r="O29" s="61" t="n"/>
    </row>
    <row r="30" ht="13.5" customHeight="1" s="40">
      <c r="A30" s="39" t="n"/>
    </row>
    <row r="31" ht="13.5" customHeight="1" s="40">
      <c r="A31" s="39" t="n"/>
    </row>
    <row r="32" ht="13.5" customHeight="1" s="40">
      <c r="A32" s="56" t="inlineStr">
        <is>
          <t>【計算ロジック】</t>
        </is>
      </c>
    </row>
    <row r="33" ht="13.5" customHeight="1" s="40">
      <c r="A33" s="65" t="inlineStr">
        <is>
          <t>・ご自身の顧客売上 × 90%（経費10%控除後）× 70% = ご自身の顧客コミッション</t>
        </is>
      </c>
    </row>
    <row r="34" ht="13.5" customHeight="1" s="40">
      <c r="A34" s="65" t="inlineStr">
        <is>
          <t>・施術売上（指名なし）× 90%（経費10%控除後）× 50% = 施術コミッション</t>
        </is>
      </c>
    </row>
    <row r="35" ht="13.5" customHeight="1" s="40">
      <c r="A35" s="65" t="inlineStr">
        <is>
          <t>・指名売上 × 90%（経費10%控除後）× 60% = 指名コミッション</t>
        </is>
      </c>
    </row>
    <row r="36" ht="15" customHeight="1" s="40">
      <c r="A36" s="65" t="inlineStr">
        <is>
          <t>・店販売上 × 10% = 店販コミッション（経費控除なし）</t>
        </is>
      </c>
    </row>
    <row r="37" ht="13.5" customHeight="1" s="40">
      <c r="A37" s="65" t="inlineStr">
        <is>
          <t>・オプション売上 × 10% = オプションコミッション（経費控除なし）</t>
        </is>
      </c>
    </row>
    <row r="38" ht="15" customHeight="1" s="40">
      <c r="A38" s="65" t="inlineStr">
        <is>
          <t>・片道運賃 × 2（往復）× 勤務日数 = 交通費（経費控除なし・実費支給）</t>
        </is>
      </c>
    </row>
    <row r="39" ht="13.5" customHeight="1" s="40">
      <c r="A39" s="65" t="inlineStr">
        <is>
          <t>・支給合計 = 5種コミッション + 交通費</t>
        </is>
      </c>
    </row>
    <row r="40" ht="15" customHeight="1" s="40">
      <c r="A40" s="65" t="n"/>
    </row>
    <row r="41" ht="13.5" customHeight="1" s="40">
      <c r="A41" s="65" t="inlineStr">
        <is>
          <t>【入力欄】青セル: 売上・勤務日数・運賃を入力 / 緑セル: ご自身の顧客系 / 赤数値: 料率を変更可能</t>
        </is>
      </c>
    </row>
    <row r="42" ht="13.5" customHeight="1" s="40">
      <c r="A42" s="65" t="inlineStr">
        <is>
          <t>【自動計算】グレーセル: コミッション計算 / 金色セル: 月別支給合計</t>
        </is>
      </c>
    </row>
    <row r="43" ht="15" customHeight="1" s="40">
      <c r="A43" s="66" t="inlineStr">
        <is>
          <t>※ 売上・勤務日数は各月シートで入力すると年間サマリーに自動反映されます</t>
        </is>
      </c>
    </row>
  </sheetData>
  <mergeCells count="24">
    <mergeCell ref="A22:D22"/>
    <mergeCell ref="C23:O23"/>
    <mergeCell ref="A41:O41"/>
    <mergeCell ref="A37:O37"/>
    <mergeCell ref="A12:O12"/>
    <mergeCell ref="A2:O2"/>
    <mergeCell ref="A42:O42"/>
    <mergeCell ref="A33:O33"/>
    <mergeCell ref="A32:O32"/>
    <mergeCell ref="A4:O4"/>
    <mergeCell ref="C24:O24"/>
    <mergeCell ref="A35:O35"/>
    <mergeCell ref="A43:O43"/>
    <mergeCell ref="A38:O38"/>
    <mergeCell ref="C26:O26"/>
    <mergeCell ref="C29:O29"/>
    <mergeCell ref="A31:O31"/>
    <mergeCell ref="A40:O40"/>
    <mergeCell ref="A34:O34"/>
    <mergeCell ref="C25:O25"/>
    <mergeCell ref="A30:O30"/>
    <mergeCell ref="A39:O39"/>
    <mergeCell ref="A36:O36"/>
    <mergeCell ref="A1:O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26" customWidth="1" style="39" min="1" max="1"/>
    <col width="15" customWidth="1" style="39" min="2" max="3"/>
    <col width="10" customWidth="1" style="39" min="4" max="4"/>
    <col width="15" customWidth="1" style="39" min="5" max="5"/>
  </cols>
  <sheetData>
    <row r="1" ht="21" customHeight="1" s="40">
      <c r="A1" s="41" t="inlineStr">
        <is>
          <t>松藤華奈 コミッション計算 - 1月</t>
        </is>
      </c>
    </row>
    <row r="3" ht="16.5" customHeight="1" s="40">
      <c r="A3" s="43" t="inlineStr">
        <is>
          <t>区分</t>
        </is>
      </c>
      <c r="B3" s="43" t="inlineStr">
        <is>
          <t>売上/数量</t>
        </is>
      </c>
      <c r="C3" s="43" t="inlineStr">
        <is>
          <t>経費控除後</t>
        </is>
      </c>
      <c r="D3" s="43" t="inlineStr">
        <is>
          <t>料率</t>
        </is>
      </c>
      <c r="E3" s="43" t="inlineStr">
        <is>
          <t>コミッション</t>
        </is>
      </c>
    </row>
    <row r="4" ht="15" customHeight="1" s="40">
      <c r="A4" s="57" t="inlineStr">
        <is>
          <t>ご自身の顧客売上</t>
        </is>
      </c>
      <c r="B4" s="67" t="n"/>
      <c r="C4" s="68">
        <f>B4*(1-年間サマリー!$B$29)</f>
        <v/>
      </c>
      <c r="D4" s="69">
        <f>年間サマリー!$B$25</f>
        <v/>
      </c>
      <c r="E4" s="52">
        <f>ROUNDDOWN(C4*D4,0)</f>
        <v/>
      </c>
    </row>
    <row r="5" ht="15" customHeight="1" s="40">
      <c r="A5" s="62" t="inlineStr">
        <is>
          <t>施術売上（指名なし）</t>
        </is>
      </c>
      <c r="B5" s="70" t="n"/>
      <c r="C5" s="68">
        <f>B5*(1-年間サマリー!$B$29)</f>
        <v/>
      </c>
      <c r="D5" s="69">
        <f>年間サマリー!$B$26</f>
        <v/>
      </c>
      <c r="E5" s="52">
        <f>ROUNDDOWN(C5*D5,0)</f>
        <v/>
      </c>
    </row>
    <row r="6" ht="15" customHeight="1" s="40">
      <c r="A6" s="62" t="inlineStr">
        <is>
          <t>指名売上</t>
        </is>
      </c>
      <c r="B6" s="70" t="n"/>
      <c r="C6" s="68">
        <f>B6*(1-年間サマリー!$B$29)</f>
        <v/>
      </c>
      <c r="D6" s="69">
        <f>年間サマリー!$B$27</f>
        <v/>
      </c>
      <c r="E6" s="52">
        <f>ROUNDDOWN(C6*D6,0)</f>
        <v/>
      </c>
    </row>
    <row r="7" ht="15" customHeight="1" s="40">
      <c r="A7" s="62" t="inlineStr">
        <is>
          <t>店販売上</t>
        </is>
      </c>
      <c r="B7" s="70" t="n"/>
      <c r="C7" s="68">
        <f>B7</f>
        <v/>
      </c>
      <c r="D7" s="69">
        <f>年間サマリー!$B$28</f>
        <v/>
      </c>
      <c r="E7" s="52">
        <f>ROUNDDOWN(B7*D7,0)</f>
        <v/>
      </c>
    </row>
    <row r="8" ht="15" customHeight="1" s="40">
      <c r="A8" s="62" t="inlineStr">
        <is>
          <t>オプション売上</t>
        </is>
      </c>
      <c r="B8" s="70" t="n"/>
      <c r="C8" s="68">
        <f>B8</f>
        <v/>
      </c>
      <c r="D8" s="69">
        <f>年間サマリー!$B$28</f>
        <v/>
      </c>
      <c r="E8" s="52">
        <f>ROUNDDOWN(B8*D8,0)</f>
        <v/>
      </c>
    </row>
    <row r="9" ht="15" customHeight="1" s="40">
      <c r="A9" s="39" t="n"/>
    </row>
    <row r="10" ht="15" customHeight="1" s="40">
      <c r="A10" s="56" t="inlineStr">
        <is>
          <t>【交通費】</t>
        </is>
      </c>
    </row>
    <row r="11" ht="15" customHeight="1" s="40">
      <c r="A11" s="62" t="inlineStr">
        <is>
          <t>勤務日数</t>
        </is>
      </c>
      <c r="B11" s="71" t="n"/>
      <c r="C11" s="72" t="n"/>
      <c r="D11" s="72" t="n"/>
      <c r="E11" s="72" t="n"/>
    </row>
    <row r="12" ht="15" customHeight="1" s="40">
      <c r="A12" s="62" t="inlineStr">
        <is>
          <t>片道運賃</t>
        </is>
      </c>
      <c r="B12" s="70" t="n">
        <v>160</v>
      </c>
      <c r="C12" s="72" t="n"/>
      <c r="D12" s="72" t="n"/>
      <c r="E12" s="72" t="n"/>
    </row>
    <row r="13" ht="15" customHeight="1" s="40">
      <c r="A13" s="62" t="inlineStr">
        <is>
          <t>交通費（片道×2×勤務日数）</t>
        </is>
      </c>
      <c r="B13" s="72" t="n"/>
      <c r="C13" s="72" t="n"/>
      <c r="D13" s="72" t="n"/>
      <c r="E13" s="52">
        <f>B12*2*B11</f>
        <v/>
      </c>
    </row>
    <row r="14" ht="15" customHeight="1" s="40"/>
    <row r="15" ht="15" customHeight="1" s="40">
      <c r="A15" s="73" t="inlineStr">
        <is>
          <t>支給合計</t>
        </is>
      </c>
      <c r="B15" s="74" t="n"/>
      <c r="C15" s="74" t="n"/>
      <c r="D15" s="74" t="n"/>
      <c r="E15" s="75">
        <f>SUM(E4:E8)+E13</f>
        <v/>
      </c>
    </row>
    <row r="16" ht="13.5" customHeight="1" s="40">
      <c r="A16" s="39" t="n"/>
    </row>
    <row r="17" ht="15" customHeight="1" s="40">
      <c r="A17" s="42" t="inlineStr">
        <is>
          <t>※ 青セル=入力欄、グレーセル=自動計算、料率は年間サマリーで一元管理</t>
        </is>
      </c>
    </row>
  </sheetData>
  <mergeCells count="3">
    <mergeCell ref="A16:E16"/>
    <mergeCell ref="A1:E1"/>
    <mergeCell ref="A9:E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26" customWidth="1" style="39" min="1" max="1"/>
    <col width="15" customWidth="1" style="39" min="2" max="3"/>
    <col width="10" customWidth="1" style="39" min="4" max="4"/>
    <col width="15" customWidth="1" style="39" min="5" max="5"/>
  </cols>
  <sheetData>
    <row r="1" ht="21" customHeight="1" s="40">
      <c r="A1" s="41" t="inlineStr">
        <is>
          <t>松藤華奈 コミッション計算 - 2月</t>
        </is>
      </c>
    </row>
    <row r="3" ht="16.5" customHeight="1" s="40">
      <c r="A3" s="43" t="inlineStr">
        <is>
          <t>区分</t>
        </is>
      </c>
      <c r="B3" s="43" t="inlineStr">
        <is>
          <t>売上/数量</t>
        </is>
      </c>
      <c r="C3" s="43" t="inlineStr">
        <is>
          <t>経費控除後</t>
        </is>
      </c>
      <c r="D3" s="43" t="inlineStr">
        <is>
          <t>料率</t>
        </is>
      </c>
      <c r="E3" s="43" t="inlineStr">
        <is>
          <t>コミッション</t>
        </is>
      </c>
    </row>
    <row r="4" ht="15" customHeight="1" s="40">
      <c r="A4" s="57" t="inlineStr">
        <is>
          <t>ご自身の顧客売上</t>
        </is>
      </c>
      <c r="B4" s="67" t="n"/>
      <c r="C4" s="68">
        <f>B4*(1-年間サマリー!$B$29)</f>
        <v/>
      </c>
      <c r="D4" s="69">
        <f>年間サマリー!$B$25</f>
        <v/>
      </c>
      <c r="E4" s="52">
        <f>ROUNDDOWN(C4*D4,0)</f>
        <v/>
      </c>
    </row>
    <row r="5" ht="15" customHeight="1" s="40">
      <c r="A5" s="62" t="inlineStr">
        <is>
          <t>施術売上（指名なし）</t>
        </is>
      </c>
      <c r="B5" s="70" t="n"/>
      <c r="C5" s="68">
        <f>B5*(1-年間サマリー!$B$29)</f>
        <v/>
      </c>
      <c r="D5" s="69">
        <f>年間サマリー!$B$26</f>
        <v/>
      </c>
      <c r="E5" s="52">
        <f>ROUNDDOWN(C5*D5,0)</f>
        <v/>
      </c>
    </row>
    <row r="6" ht="15" customHeight="1" s="40">
      <c r="A6" s="62" t="inlineStr">
        <is>
          <t>指名売上</t>
        </is>
      </c>
      <c r="B6" s="70" t="n"/>
      <c r="C6" s="68">
        <f>B6*(1-年間サマリー!$B$29)</f>
        <v/>
      </c>
      <c r="D6" s="69">
        <f>年間サマリー!$B$27</f>
        <v/>
      </c>
      <c r="E6" s="52">
        <f>ROUNDDOWN(C6*D6,0)</f>
        <v/>
      </c>
    </row>
    <row r="7" ht="15" customHeight="1" s="40">
      <c r="A7" s="62" t="inlineStr">
        <is>
          <t>店販売上</t>
        </is>
      </c>
      <c r="B7" s="70" t="n"/>
      <c r="C7" s="68">
        <f>B7</f>
        <v/>
      </c>
      <c r="D7" s="69">
        <f>年間サマリー!$B$28</f>
        <v/>
      </c>
      <c r="E7" s="52">
        <f>ROUNDDOWN(B7*D7,0)</f>
        <v/>
      </c>
    </row>
    <row r="8" ht="15" customHeight="1" s="40">
      <c r="A8" s="62" t="inlineStr">
        <is>
          <t>オプション売上</t>
        </is>
      </c>
      <c r="B8" s="70" t="n"/>
      <c r="C8" s="68">
        <f>B8</f>
        <v/>
      </c>
      <c r="D8" s="69">
        <f>年間サマリー!$B$28</f>
        <v/>
      </c>
      <c r="E8" s="52">
        <f>ROUNDDOWN(B8*D8,0)</f>
        <v/>
      </c>
    </row>
    <row r="9" ht="15" customHeight="1" s="40">
      <c r="A9" s="39" t="n"/>
    </row>
    <row r="10" ht="15" customHeight="1" s="40">
      <c r="A10" s="56" t="inlineStr">
        <is>
          <t>【交通費】</t>
        </is>
      </c>
    </row>
    <row r="11" ht="15" customHeight="1" s="40">
      <c r="A11" s="62" t="inlineStr">
        <is>
          <t>勤務日数</t>
        </is>
      </c>
      <c r="B11" s="71" t="n"/>
      <c r="C11" s="72" t="n"/>
      <c r="D11" s="72" t="n"/>
      <c r="E11" s="72" t="n"/>
    </row>
    <row r="12" ht="15" customHeight="1" s="40">
      <c r="A12" s="62" t="inlineStr">
        <is>
          <t>片道運賃</t>
        </is>
      </c>
      <c r="B12" s="70" t="n">
        <v>160</v>
      </c>
      <c r="C12" s="72" t="n"/>
      <c r="D12" s="72" t="n"/>
      <c r="E12" s="72" t="n"/>
    </row>
    <row r="13" ht="15" customHeight="1" s="40">
      <c r="A13" s="62" t="inlineStr">
        <is>
          <t>交通費（片道×2×勤務日数）</t>
        </is>
      </c>
      <c r="B13" s="72" t="n"/>
      <c r="C13" s="72" t="n"/>
      <c r="D13" s="72" t="n"/>
      <c r="E13" s="52">
        <f>B12*2*B11</f>
        <v/>
      </c>
    </row>
    <row r="14" ht="15" customHeight="1" s="40"/>
    <row r="15" ht="15" customHeight="1" s="40">
      <c r="A15" s="73" t="inlineStr">
        <is>
          <t>支給合計</t>
        </is>
      </c>
      <c r="B15" s="74" t="n"/>
      <c r="C15" s="74" t="n"/>
      <c r="D15" s="74" t="n"/>
      <c r="E15" s="75">
        <f>SUM(E4:E8)+E13</f>
        <v/>
      </c>
    </row>
    <row r="16" ht="13.5" customHeight="1" s="40">
      <c r="A16" s="39" t="n"/>
    </row>
    <row r="17" ht="15" customHeight="1" s="40">
      <c r="A17" s="42" t="inlineStr">
        <is>
          <t>※ 青セル=入力欄、グレーセル=自動計算、料率は年間サマリーで一元管理</t>
        </is>
      </c>
    </row>
  </sheetData>
  <mergeCells count="3">
    <mergeCell ref="A16:E16"/>
    <mergeCell ref="A1:E1"/>
    <mergeCell ref="A9:E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26" customWidth="1" style="39" min="1" max="1"/>
    <col width="15" customWidth="1" style="39" min="2" max="3"/>
    <col width="10" customWidth="1" style="39" min="4" max="4"/>
    <col width="15" customWidth="1" style="39" min="5" max="5"/>
  </cols>
  <sheetData>
    <row r="1" ht="21" customHeight="1" s="40">
      <c r="A1" s="41" t="inlineStr">
        <is>
          <t>松藤華奈 コミッション計算 - 3月</t>
        </is>
      </c>
    </row>
    <row r="3" ht="16.5" customHeight="1" s="40">
      <c r="A3" s="43" t="inlineStr">
        <is>
          <t>区分</t>
        </is>
      </c>
      <c r="B3" s="43" t="inlineStr">
        <is>
          <t>売上/数量</t>
        </is>
      </c>
      <c r="C3" s="43" t="inlineStr">
        <is>
          <t>経費控除後</t>
        </is>
      </c>
      <c r="D3" s="43" t="inlineStr">
        <is>
          <t>料率</t>
        </is>
      </c>
      <c r="E3" s="43" t="inlineStr">
        <is>
          <t>コミッション</t>
        </is>
      </c>
    </row>
    <row r="4" ht="15" customHeight="1" s="40">
      <c r="A4" s="57" t="inlineStr">
        <is>
          <t>ご自身の顧客売上</t>
        </is>
      </c>
      <c r="B4" s="67" t="n"/>
      <c r="C4" s="68">
        <f>B4*(1-年間サマリー!$B$29)</f>
        <v/>
      </c>
      <c r="D4" s="69">
        <f>年間サマリー!$B$25</f>
        <v/>
      </c>
      <c r="E4" s="52">
        <f>ROUNDDOWN(C4*D4,0)</f>
        <v/>
      </c>
    </row>
    <row r="5" ht="15" customHeight="1" s="40">
      <c r="A5" s="62" t="inlineStr">
        <is>
          <t>施術売上（指名なし）</t>
        </is>
      </c>
      <c r="B5" s="70" t="n"/>
      <c r="C5" s="68">
        <f>B5*(1-年間サマリー!$B$29)</f>
        <v/>
      </c>
      <c r="D5" s="69">
        <f>年間サマリー!$B$26</f>
        <v/>
      </c>
      <c r="E5" s="52">
        <f>ROUNDDOWN(C5*D5,0)</f>
        <v/>
      </c>
    </row>
    <row r="6" ht="15" customHeight="1" s="40">
      <c r="A6" s="62" t="inlineStr">
        <is>
          <t>指名売上</t>
        </is>
      </c>
      <c r="B6" s="70" t="n"/>
      <c r="C6" s="68">
        <f>B6*(1-年間サマリー!$B$29)</f>
        <v/>
      </c>
      <c r="D6" s="69">
        <f>年間サマリー!$B$27</f>
        <v/>
      </c>
      <c r="E6" s="52">
        <f>ROUNDDOWN(C6*D6,0)</f>
        <v/>
      </c>
    </row>
    <row r="7" ht="15" customHeight="1" s="40">
      <c r="A7" s="62" t="inlineStr">
        <is>
          <t>店販売上</t>
        </is>
      </c>
      <c r="B7" s="70" t="n"/>
      <c r="C7" s="68">
        <f>B7</f>
        <v/>
      </c>
      <c r="D7" s="69">
        <f>年間サマリー!$B$28</f>
        <v/>
      </c>
      <c r="E7" s="52">
        <f>ROUNDDOWN(B7*D7,0)</f>
        <v/>
      </c>
    </row>
    <row r="8" ht="15" customHeight="1" s="40">
      <c r="A8" s="62" t="inlineStr">
        <is>
          <t>オプション売上</t>
        </is>
      </c>
      <c r="B8" s="70" t="n"/>
      <c r="C8" s="68">
        <f>B8</f>
        <v/>
      </c>
      <c r="D8" s="69">
        <f>年間サマリー!$B$28</f>
        <v/>
      </c>
      <c r="E8" s="52">
        <f>ROUNDDOWN(B8*D8,0)</f>
        <v/>
      </c>
    </row>
    <row r="9" ht="15" customHeight="1" s="40">
      <c r="A9" s="39" t="n"/>
    </row>
    <row r="10" ht="15" customHeight="1" s="40">
      <c r="A10" s="56" t="inlineStr">
        <is>
          <t>【交通費】</t>
        </is>
      </c>
    </row>
    <row r="11" ht="15" customHeight="1" s="40">
      <c r="A11" s="62" t="inlineStr">
        <is>
          <t>勤務日数</t>
        </is>
      </c>
      <c r="B11" s="71" t="n"/>
      <c r="C11" s="72" t="n"/>
      <c r="D11" s="72" t="n"/>
      <c r="E11" s="72" t="n"/>
    </row>
    <row r="12" ht="15" customHeight="1" s="40">
      <c r="A12" s="62" t="inlineStr">
        <is>
          <t>片道運賃</t>
        </is>
      </c>
      <c r="B12" s="70" t="n">
        <v>160</v>
      </c>
      <c r="C12" s="72" t="n"/>
      <c r="D12" s="72" t="n"/>
      <c r="E12" s="72" t="n"/>
    </row>
    <row r="13" ht="15" customHeight="1" s="40">
      <c r="A13" s="62" t="inlineStr">
        <is>
          <t>交通費（片道×2×勤務日数）</t>
        </is>
      </c>
      <c r="B13" s="72" t="n"/>
      <c r="C13" s="72" t="n"/>
      <c r="D13" s="72" t="n"/>
      <c r="E13" s="52">
        <f>B12*2*B11</f>
        <v/>
      </c>
    </row>
    <row r="14" ht="15" customHeight="1" s="40"/>
    <row r="15" ht="15" customHeight="1" s="40">
      <c r="A15" s="73" t="inlineStr">
        <is>
          <t>支給合計</t>
        </is>
      </c>
      <c r="B15" s="74" t="n"/>
      <c r="C15" s="74" t="n"/>
      <c r="D15" s="74" t="n"/>
      <c r="E15" s="75">
        <f>SUM(E4:E8)+E13</f>
        <v/>
      </c>
    </row>
    <row r="16" ht="13.5" customHeight="1" s="40">
      <c r="A16" s="39" t="n"/>
    </row>
    <row r="17" ht="15" customHeight="1" s="40">
      <c r="A17" s="42" t="inlineStr">
        <is>
          <t>※ 青セル=入力欄、グレーセル=自動計算、料率は年間サマリーで一元管理</t>
        </is>
      </c>
    </row>
  </sheetData>
  <mergeCells count="3">
    <mergeCell ref="A16:E16"/>
    <mergeCell ref="A1:E1"/>
    <mergeCell ref="A9:E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26" customWidth="1" style="39" min="1" max="1"/>
    <col width="15" customWidth="1" style="39" min="2" max="3"/>
    <col width="10" customWidth="1" style="39" min="4" max="4"/>
    <col width="15" customWidth="1" style="39" min="5" max="5"/>
  </cols>
  <sheetData>
    <row r="1" ht="21" customHeight="1" s="40">
      <c r="A1" s="41" t="inlineStr">
        <is>
          <t>松藤華奈 コミッション計算 - 4月</t>
        </is>
      </c>
    </row>
    <row r="3" ht="16.5" customHeight="1" s="40">
      <c r="A3" s="43" t="inlineStr">
        <is>
          <t>区分</t>
        </is>
      </c>
      <c r="B3" s="43" t="inlineStr">
        <is>
          <t>売上/数量</t>
        </is>
      </c>
      <c r="C3" s="43" t="inlineStr">
        <is>
          <t>経費控除後</t>
        </is>
      </c>
      <c r="D3" s="43" t="inlineStr">
        <is>
          <t>料率</t>
        </is>
      </c>
      <c r="E3" s="43" t="inlineStr">
        <is>
          <t>コミッション</t>
        </is>
      </c>
    </row>
    <row r="4" ht="15" customHeight="1" s="40">
      <c r="A4" s="57" t="inlineStr">
        <is>
          <t>ご自身の顧客売上</t>
        </is>
      </c>
      <c r="B4" s="67" t="n"/>
      <c r="C4" s="68">
        <f>B4*(1-年間サマリー!$B$29)</f>
        <v/>
      </c>
      <c r="D4" s="69">
        <f>年間サマリー!$B$25</f>
        <v/>
      </c>
      <c r="E4" s="52">
        <f>ROUNDDOWN(C4*D4,0)</f>
        <v/>
      </c>
    </row>
    <row r="5" ht="15" customHeight="1" s="40">
      <c r="A5" s="62" t="inlineStr">
        <is>
          <t>施術売上（指名なし）</t>
        </is>
      </c>
      <c r="B5" s="70" t="n">
        <v>340760</v>
      </c>
      <c r="C5" s="68">
        <f>B5*(1-年間サマリー!$B$29)</f>
        <v/>
      </c>
      <c r="D5" s="69">
        <f>年間サマリー!$B$26</f>
        <v/>
      </c>
      <c r="E5" s="52">
        <f>ROUNDDOWN(C5*D5,0)</f>
        <v/>
      </c>
    </row>
    <row r="6" ht="15" customHeight="1" s="40">
      <c r="A6" s="62" t="inlineStr">
        <is>
          <t>指名売上</t>
        </is>
      </c>
      <c r="B6" s="70" t="n">
        <v>34600</v>
      </c>
      <c r="C6" s="68">
        <f>B6*(1-年間サマリー!$B$29)</f>
        <v/>
      </c>
      <c r="D6" s="69">
        <f>年間サマリー!$B$27</f>
        <v/>
      </c>
      <c r="E6" s="52">
        <f>ROUNDDOWN(C6*D6,0)</f>
        <v/>
      </c>
    </row>
    <row r="7" ht="15" customHeight="1" s="40">
      <c r="A7" s="62" t="inlineStr">
        <is>
          <t>店販売上</t>
        </is>
      </c>
      <c r="B7" s="70" t="n">
        <v>11100</v>
      </c>
      <c r="C7" s="68">
        <f>B7</f>
        <v/>
      </c>
      <c r="D7" s="69">
        <f>年間サマリー!$B$28</f>
        <v/>
      </c>
      <c r="E7" s="52">
        <f>ROUNDDOWN(B7*D7,0)</f>
        <v/>
      </c>
    </row>
    <row r="8" ht="15" customHeight="1" s="40">
      <c r="A8" s="62" t="inlineStr">
        <is>
          <t>オプション売上</t>
        </is>
      </c>
      <c r="B8" s="70" t="n">
        <v>19600</v>
      </c>
      <c r="C8" s="68">
        <f>B8</f>
        <v/>
      </c>
      <c r="D8" s="69">
        <f>年間サマリー!$B$28</f>
        <v/>
      </c>
      <c r="E8" s="52">
        <f>ROUNDDOWN(B8*D8,0)</f>
        <v/>
      </c>
    </row>
    <row r="9" ht="15" customHeight="1" s="40">
      <c r="A9" s="39" t="n"/>
    </row>
    <row r="10" ht="15" customHeight="1" s="40">
      <c r="A10" s="56" t="inlineStr">
        <is>
          <t>【交通費】</t>
        </is>
      </c>
    </row>
    <row r="11" ht="15" customHeight="1" s="40">
      <c r="A11" s="62" t="inlineStr">
        <is>
          <t>勤務日数</t>
        </is>
      </c>
      <c r="B11" s="71" t="n">
        <v>17</v>
      </c>
      <c r="C11" s="72" t="n"/>
      <c r="D11" s="72" t="n"/>
      <c r="E11" s="72" t="n"/>
    </row>
    <row r="12" ht="15" customHeight="1" s="40">
      <c r="A12" s="62" t="inlineStr">
        <is>
          <t>片道運賃</t>
        </is>
      </c>
      <c r="B12" s="70" t="n">
        <v>160</v>
      </c>
      <c r="C12" s="72" t="n"/>
      <c r="D12" s="72" t="n"/>
      <c r="E12" s="72" t="n"/>
    </row>
    <row r="13" ht="15" customHeight="1" s="40">
      <c r="A13" s="62" t="inlineStr">
        <is>
          <t>交通費（片道×2×勤務日数）</t>
        </is>
      </c>
      <c r="B13" s="72" t="n"/>
      <c r="C13" s="72" t="n"/>
      <c r="D13" s="72" t="n"/>
      <c r="E13" s="52">
        <f>B12*2*B11</f>
        <v/>
      </c>
    </row>
    <row r="14" ht="15" customHeight="1" s="40"/>
    <row r="15" ht="15" customHeight="1" s="40">
      <c r="A15" s="73" t="inlineStr">
        <is>
          <t>支給合計</t>
        </is>
      </c>
      <c r="B15" s="74" t="n"/>
      <c r="C15" s="74" t="n"/>
      <c r="D15" s="74" t="n"/>
      <c r="E15" s="75">
        <f>SUM(E4:E8)+E13</f>
        <v/>
      </c>
    </row>
    <row r="16" ht="13.5" customHeight="1" s="40">
      <c r="A16" s="39" t="n"/>
    </row>
    <row r="17" ht="15" customHeight="1" s="40">
      <c r="A17" s="42" t="inlineStr">
        <is>
          <t>※ 青セル=入力欄、グレーセル=自動計算、料率は年間サマリーで一元管理</t>
        </is>
      </c>
    </row>
  </sheetData>
  <mergeCells count="3">
    <mergeCell ref="A16:E16"/>
    <mergeCell ref="A1:E1"/>
    <mergeCell ref="A9:E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26" customWidth="1" style="39" min="1" max="1"/>
    <col width="15" customWidth="1" style="39" min="2" max="3"/>
    <col width="10" customWidth="1" style="39" min="4" max="4"/>
    <col width="15" customWidth="1" style="39" min="5" max="5"/>
  </cols>
  <sheetData>
    <row r="1" ht="21" customHeight="1" s="40">
      <c r="A1" s="41" t="inlineStr">
        <is>
          <t>松藤華奈 コミッション計算 - 5月</t>
        </is>
      </c>
    </row>
    <row r="3" ht="16.5" customHeight="1" s="40">
      <c r="A3" s="43" t="inlineStr">
        <is>
          <t>区分</t>
        </is>
      </c>
      <c r="B3" s="43" t="inlineStr">
        <is>
          <t>売上/数量</t>
        </is>
      </c>
      <c r="C3" s="43" t="inlineStr">
        <is>
          <t>経費控除後</t>
        </is>
      </c>
      <c r="D3" s="43" t="inlineStr">
        <is>
          <t>料率</t>
        </is>
      </c>
      <c r="E3" s="43" t="inlineStr">
        <is>
          <t>コミッション</t>
        </is>
      </c>
    </row>
    <row r="4" ht="15" customHeight="1" s="40">
      <c r="A4" s="57" t="inlineStr">
        <is>
          <t>ご自身の顧客売上</t>
        </is>
      </c>
      <c r="B4" s="67" t="n">
        <v>21100</v>
      </c>
      <c r="C4" s="68">
        <f>B4*(1-年間サマリー!$B$29)</f>
        <v/>
      </c>
      <c r="D4" s="69">
        <f>年間サマリー!$B$25</f>
        <v/>
      </c>
      <c r="E4" s="52">
        <f>ROUNDDOWN(C4*D4,0)</f>
        <v/>
      </c>
    </row>
    <row r="5" ht="15" customHeight="1" s="40">
      <c r="A5" s="62" t="inlineStr">
        <is>
          <t>施術売上（指名なし）</t>
        </is>
      </c>
      <c r="B5" s="70" t="n">
        <v>306300</v>
      </c>
      <c r="C5" s="68">
        <f>B5*(1-年間サマリー!$B$29)</f>
        <v/>
      </c>
      <c r="D5" s="69">
        <f>年間サマリー!$B$26</f>
        <v/>
      </c>
      <c r="E5" s="52">
        <f>ROUNDDOWN(C5*D5,0)</f>
        <v/>
      </c>
    </row>
    <row r="6" ht="15" customHeight="1" s="40">
      <c r="A6" s="62" t="inlineStr">
        <is>
          <t>指名売上</t>
        </is>
      </c>
      <c r="B6" s="70" t="n">
        <v>7800</v>
      </c>
      <c r="C6" s="68">
        <f>B6*(1-年間サマリー!$B$29)</f>
        <v/>
      </c>
      <c r="D6" s="69">
        <f>年間サマリー!$B$27</f>
        <v/>
      </c>
      <c r="E6" s="52">
        <f>ROUNDDOWN(C6*D6,0)</f>
        <v/>
      </c>
    </row>
    <row r="7" ht="15" customHeight="1" s="40">
      <c r="A7" s="62" t="inlineStr">
        <is>
          <t>店販売上</t>
        </is>
      </c>
      <c r="B7" s="70" t="n">
        <v>10800</v>
      </c>
      <c r="C7" s="68">
        <f>B7</f>
        <v/>
      </c>
      <c r="D7" s="69">
        <f>年間サマリー!$B$28</f>
        <v/>
      </c>
      <c r="E7" s="52">
        <f>ROUNDDOWN(B7*D7,0)</f>
        <v/>
      </c>
    </row>
    <row r="8" ht="15" customHeight="1" s="40">
      <c r="A8" s="62" t="inlineStr">
        <is>
          <t>オプション売上</t>
        </is>
      </c>
      <c r="B8" s="70" t="n">
        <v>11600</v>
      </c>
      <c r="C8" s="68">
        <f>B8</f>
        <v/>
      </c>
      <c r="D8" s="69">
        <f>年間サマリー!$B$28</f>
        <v/>
      </c>
      <c r="E8" s="52">
        <f>ROUNDDOWN(B8*D8,0)</f>
        <v/>
      </c>
    </row>
    <row r="9" ht="15" customHeight="1" s="40">
      <c r="A9" s="39" t="n"/>
    </row>
    <row r="10" ht="15" customHeight="1" s="40">
      <c r="A10" s="56" t="inlineStr">
        <is>
          <t>【交通費】</t>
        </is>
      </c>
    </row>
    <row r="11" ht="15" customHeight="1" s="40">
      <c r="A11" s="62" t="inlineStr">
        <is>
          <t>勤務日数</t>
        </is>
      </c>
      <c r="B11" s="71" t="n">
        <v>14</v>
      </c>
      <c r="C11" s="72" t="n"/>
      <c r="D11" s="72" t="n"/>
      <c r="E11" s="72" t="n"/>
    </row>
    <row r="12" ht="15" customHeight="1" s="40">
      <c r="A12" s="62" t="inlineStr">
        <is>
          <t>片道運賃</t>
        </is>
      </c>
      <c r="B12" s="70" t="n">
        <v>160</v>
      </c>
      <c r="C12" s="72" t="n"/>
      <c r="D12" s="72" t="n"/>
      <c r="E12" s="72" t="n"/>
    </row>
    <row r="13" ht="15" customHeight="1" s="40">
      <c r="A13" s="62" t="inlineStr">
        <is>
          <t>交通費（片道×2×勤務日数）</t>
        </is>
      </c>
      <c r="B13" s="72" t="n"/>
      <c r="C13" s="72" t="n"/>
      <c r="D13" s="72" t="n"/>
      <c r="E13" s="52">
        <f>B12*2*B11</f>
        <v/>
      </c>
    </row>
    <row r="14" ht="15" customHeight="1" s="40"/>
    <row r="15" ht="15" customHeight="1" s="40">
      <c r="A15" s="73" t="inlineStr">
        <is>
          <t>支給合計</t>
        </is>
      </c>
      <c r="B15" s="74" t="n"/>
      <c r="C15" s="74" t="n"/>
      <c r="D15" s="74" t="n"/>
      <c r="E15" s="75">
        <f>SUM(E4:E8)+E13</f>
        <v/>
      </c>
    </row>
    <row r="16" ht="13.5" customHeight="1" s="40">
      <c r="A16" s="39" t="n"/>
    </row>
    <row r="17" ht="15" customHeight="1" s="40">
      <c r="A17" s="42" t="inlineStr">
        <is>
          <t>※ 青セル=入力欄、グレーセル=自動計算、料率は年間サマリーで一元管理</t>
        </is>
      </c>
    </row>
  </sheetData>
  <mergeCells count="3">
    <mergeCell ref="A16:E16"/>
    <mergeCell ref="A1:E1"/>
    <mergeCell ref="A9:E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26" customWidth="1" style="39" min="1" max="1"/>
    <col width="15" customWidth="1" style="39" min="2" max="3"/>
    <col width="10" customWidth="1" style="39" min="4" max="4"/>
    <col width="15" customWidth="1" style="39" min="5" max="5"/>
  </cols>
  <sheetData>
    <row r="1" ht="21" customHeight="1" s="40">
      <c r="A1" s="41" t="inlineStr">
        <is>
          <t>松藤華奈 コミッション計算 - 6月</t>
        </is>
      </c>
    </row>
    <row r="3" ht="16.5" customHeight="1" s="40">
      <c r="A3" s="43" t="inlineStr">
        <is>
          <t>区分</t>
        </is>
      </c>
      <c r="B3" s="43" t="inlineStr">
        <is>
          <t>売上/数量</t>
        </is>
      </c>
      <c r="C3" s="43" t="inlineStr">
        <is>
          <t>経費控除後</t>
        </is>
      </c>
      <c r="D3" s="43" t="inlineStr">
        <is>
          <t>料率</t>
        </is>
      </c>
      <c r="E3" s="43" t="inlineStr">
        <is>
          <t>コミッション</t>
        </is>
      </c>
    </row>
    <row r="4" ht="15" customHeight="1" s="40">
      <c r="A4" s="57" t="inlineStr">
        <is>
          <t>ご自身の顧客売上</t>
        </is>
      </c>
      <c r="B4" s="67" t="n">
        <v>0</v>
      </c>
      <c r="C4" s="68">
        <f>B4*(1-年間サマリー!$B$29)</f>
        <v/>
      </c>
      <c r="D4" s="69">
        <f>年間サマリー!$B$25</f>
        <v/>
      </c>
      <c r="E4" s="52">
        <f>ROUNDDOWN(C4*D4,0)</f>
        <v/>
      </c>
    </row>
    <row r="5" ht="15" customHeight="1" s="40">
      <c r="A5" s="62" t="inlineStr">
        <is>
          <t>施術売上（指名なし）</t>
        </is>
      </c>
      <c r="B5" s="70" t="n">
        <v>406700</v>
      </c>
      <c r="C5" s="68">
        <f>B5*(1-年間サマリー!$B$29)</f>
        <v/>
      </c>
      <c r="D5" s="69">
        <f>年間サマリー!$B$26</f>
        <v/>
      </c>
      <c r="E5" s="52">
        <f>ROUNDDOWN(C5*D5,0)</f>
        <v/>
      </c>
    </row>
    <row r="6" ht="15" customHeight="1" s="40">
      <c r="A6" s="62" t="inlineStr">
        <is>
          <t>指名売上</t>
        </is>
      </c>
      <c r="B6" s="70" t="n">
        <v>38300</v>
      </c>
      <c r="C6" s="68">
        <f>B6*(1-年間サマリー!$B$29)</f>
        <v/>
      </c>
      <c r="D6" s="69">
        <f>年間サマリー!$B$27</f>
        <v/>
      </c>
      <c r="E6" s="52">
        <f>ROUNDDOWN(C6*D6,0)</f>
        <v/>
      </c>
    </row>
    <row r="7" ht="15" customHeight="1" s="40">
      <c r="A7" s="62" t="inlineStr">
        <is>
          <t>店販売上</t>
        </is>
      </c>
      <c r="B7" s="70" t="n">
        <v>7200</v>
      </c>
      <c r="C7" s="68">
        <f>B7</f>
        <v/>
      </c>
      <c r="D7" s="69">
        <f>年間サマリー!$B$28</f>
        <v/>
      </c>
      <c r="E7" s="52">
        <f>ROUNDDOWN(B7*D7,0)</f>
        <v/>
      </c>
    </row>
    <row r="8" ht="15" customHeight="1" s="40">
      <c r="A8" s="62" t="inlineStr">
        <is>
          <t>オプション売上</t>
        </is>
      </c>
      <c r="B8" s="70" t="n">
        <v>22600</v>
      </c>
      <c r="C8" s="68">
        <f>B8</f>
        <v/>
      </c>
      <c r="D8" s="69">
        <f>年間サマリー!$B$28</f>
        <v/>
      </c>
      <c r="E8" s="52">
        <f>ROUNDDOWN(B8*D8,0)</f>
        <v/>
      </c>
    </row>
    <row r="9" ht="15" customHeight="1" s="40">
      <c r="A9" s="39" t="n"/>
    </row>
    <row r="10" ht="15" customHeight="1" s="40">
      <c r="A10" s="56" t="inlineStr">
        <is>
          <t>【交通費】</t>
        </is>
      </c>
    </row>
    <row r="11" ht="15" customHeight="1" s="40">
      <c r="A11" s="62" t="inlineStr">
        <is>
          <t>勤務日数</t>
        </is>
      </c>
      <c r="B11" s="71" t="n">
        <v>17</v>
      </c>
      <c r="C11" s="72" t="n"/>
      <c r="D11" s="72" t="n"/>
      <c r="E11" s="72" t="n"/>
    </row>
    <row r="12" ht="15" customHeight="1" s="40">
      <c r="A12" s="62" t="inlineStr">
        <is>
          <t>片道運賃</t>
        </is>
      </c>
      <c r="B12" s="70" t="n">
        <v>160</v>
      </c>
      <c r="C12" s="72" t="n"/>
      <c r="D12" s="72" t="n"/>
      <c r="E12" s="72" t="n"/>
    </row>
    <row r="13" ht="15" customHeight="1" s="40">
      <c r="A13" s="62" t="inlineStr">
        <is>
          <t>交通費（片道×2×勤務日数）</t>
        </is>
      </c>
      <c r="B13" s="72" t="n"/>
      <c r="C13" s="72" t="n"/>
      <c r="D13" s="72" t="n"/>
      <c r="E13" s="52">
        <f>B12*2*B11</f>
        <v/>
      </c>
    </row>
    <row r="14" ht="15" customHeight="1" s="40"/>
    <row r="15" ht="15" customHeight="1" s="40">
      <c r="A15" s="73" t="inlineStr">
        <is>
          <t>支給合計</t>
        </is>
      </c>
      <c r="B15" s="74" t="n"/>
      <c r="C15" s="74" t="n"/>
      <c r="D15" s="74" t="n"/>
      <c r="E15" s="75">
        <f>SUM(E4:E8)+E13</f>
        <v/>
      </c>
    </row>
    <row r="16" ht="13.5" customHeight="1" s="40">
      <c r="A16" s="39" t="n"/>
    </row>
    <row r="17" ht="15" customHeight="1" s="40">
      <c r="A17" s="42" t="inlineStr">
        <is>
          <t>※ 青セル=入力欄、グレーセル=自動計算、料率は年間サマリーで一元管理</t>
        </is>
      </c>
    </row>
  </sheetData>
  <mergeCells count="3">
    <mergeCell ref="A16:E16"/>
    <mergeCell ref="A1:E1"/>
    <mergeCell ref="A9:E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26" customWidth="1" style="39" min="1" max="1"/>
    <col width="15" customWidth="1" style="39" min="2" max="3"/>
    <col width="10" customWidth="1" style="39" min="4" max="4"/>
    <col width="15" customWidth="1" style="39" min="5" max="5"/>
  </cols>
  <sheetData>
    <row r="1" ht="21" customHeight="1" s="40">
      <c r="A1" s="41" t="inlineStr">
        <is>
          <t>松藤華奈 コミッション計算 - 7月</t>
        </is>
      </c>
    </row>
    <row r="3" ht="16.5" customHeight="1" s="40">
      <c r="A3" s="43" t="inlineStr">
        <is>
          <t>区分</t>
        </is>
      </c>
      <c r="B3" s="43" t="inlineStr">
        <is>
          <t>売上/数量</t>
        </is>
      </c>
      <c r="C3" s="43" t="inlineStr">
        <is>
          <t>経費控除後</t>
        </is>
      </c>
      <c r="D3" s="43" t="inlineStr">
        <is>
          <t>料率</t>
        </is>
      </c>
      <c r="E3" s="43" t="inlineStr">
        <is>
          <t>コミッション</t>
        </is>
      </c>
    </row>
    <row r="4" ht="15" customHeight="1" s="40">
      <c r="A4" s="57" t="inlineStr">
        <is>
          <t>ご自身の顧客売上</t>
        </is>
      </c>
      <c r="B4" s="67" t="n">
        <v>500</v>
      </c>
      <c r="C4" s="68">
        <f>B4*(1-年間サマリー!$B$29)</f>
        <v/>
      </c>
      <c r="D4" s="69" t="n">
        <v>0.6</v>
      </c>
      <c r="E4" s="52">
        <f>ROUNDDOWN(C4*D4,0)</f>
        <v/>
      </c>
    </row>
    <row r="5" ht="15" customHeight="1" s="40">
      <c r="A5" s="62" t="inlineStr">
        <is>
          <t>施術売上（指名なし）</t>
        </is>
      </c>
      <c r="B5" s="70" t="n">
        <v>352480</v>
      </c>
      <c r="C5" s="68">
        <f>B5*(1-年間サマリー!$B$29)</f>
        <v/>
      </c>
      <c r="D5" s="69" t="n">
        <v>0.4</v>
      </c>
      <c r="E5" s="52">
        <f>ROUNDDOWN(C5*D5,0)</f>
        <v/>
      </c>
    </row>
    <row r="6" ht="15" customHeight="1" s="40">
      <c r="A6" s="62" t="inlineStr">
        <is>
          <t>指名売上</t>
        </is>
      </c>
      <c r="B6" s="70" t="n">
        <v>24800</v>
      </c>
      <c r="C6" s="68">
        <f>B6*(1-年間サマリー!$B$29)</f>
        <v/>
      </c>
      <c r="D6" s="69" t="n">
        <v>0.5</v>
      </c>
      <c r="E6" s="52">
        <f>ROUNDDOWN(C6*D6,0)</f>
        <v/>
      </c>
    </row>
    <row r="7" ht="15" customHeight="1" s="40">
      <c r="A7" s="62" t="inlineStr">
        <is>
          <t>店販売上</t>
        </is>
      </c>
      <c r="B7" s="70" t="n">
        <v>15400</v>
      </c>
      <c r="C7" s="68">
        <f>B7</f>
        <v/>
      </c>
      <c r="D7" s="69" t="n">
        <v>0.05</v>
      </c>
      <c r="E7" s="52">
        <f>ROUNDDOWN(B7*D7,0)</f>
        <v/>
      </c>
    </row>
    <row r="8" ht="15" customHeight="1" s="40">
      <c r="A8" s="62" t="inlineStr">
        <is>
          <t>オプション売上</t>
        </is>
      </c>
      <c r="B8" s="70" t="n">
        <v>18600</v>
      </c>
      <c r="C8" s="68">
        <f>B8</f>
        <v/>
      </c>
      <c r="D8" s="69" t="n">
        <v>0.05</v>
      </c>
      <c r="E8" s="52">
        <f>ROUNDDOWN(B8*D8,0)</f>
        <v/>
      </c>
    </row>
    <row r="9" ht="15" customHeight="1" s="40">
      <c r="A9" s="39" t="n"/>
    </row>
    <row r="10" ht="15" customHeight="1" s="40">
      <c r="A10" s="56" t="inlineStr">
        <is>
          <t>【交通費】</t>
        </is>
      </c>
    </row>
    <row r="11" ht="15" customHeight="1" s="40">
      <c r="A11" s="62" t="inlineStr">
        <is>
          <t>勤務日数</t>
        </is>
      </c>
      <c r="B11" s="71" t="n">
        <v>15</v>
      </c>
      <c r="C11" s="72" t="n"/>
      <c r="D11" s="72" t="n"/>
      <c r="E11" s="72" t="n"/>
    </row>
    <row r="12" ht="15" customHeight="1" s="40">
      <c r="A12" s="62" t="inlineStr">
        <is>
          <t>片道運賃</t>
        </is>
      </c>
      <c r="B12" s="70" t="n">
        <v>160</v>
      </c>
      <c r="C12" s="72" t="n"/>
      <c r="D12" s="72" t="n"/>
      <c r="E12" s="72" t="n"/>
    </row>
    <row r="13" ht="15" customHeight="1" s="40">
      <c r="A13" s="62" t="inlineStr">
        <is>
          <t>交通費（片道×2×勤務日数）</t>
        </is>
      </c>
      <c r="B13" s="72" t="n"/>
      <c r="C13" s="72" t="n"/>
      <c r="D13" s="72" t="n"/>
      <c r="E13" s="52" t="n">
        <v>0</v>
      </c>
    </row>
    <row r="14" ht="15" customHeight="1" s="40"/>
    <row r="15" ht="15" customHeight="1" s="40">
      <c r="A15" s="73" t="inlineStr">
        <is>
          <t>支給合計</t>
        </is>
      </c>
      <c r="B15" s="74" t="n"/>
      <c r="C15" s="74" t="n"/>
      <c r="D15" s="74" t="n"/>
      <c r="E15" s="75">
        <f>SUM(E4:E8)+E13</f>
        <v/>
      </c>
    </row>
    <row r="16" ht="13.5" customHeight="1" s="40">
      <c r="A16" s="39" t="n"/>
    </row>
    <row r="17" ht="15" customHeight="1" s="40">
      <c r="A17" s="42" t="inlineStr">
        <is>
          <t>※ 青セル=入力欄、グレーセル=自動計算、料率は年間サマリーで一元管理</t>
        </is>
      </c>
    </row>
    <row r="18">
      <c r="A18" s="39" t="inlineStr">
        <is>
          <t>※7月〜新料率(自己60/指名なし40/指名50/店販オプ5%・交通費なし)。指名料は売上除外。フジイユメカの¥500は自己顧客(60%)扱い。</t>
        </is>
      </c>
    </row>
  </sheetData>
  <mergeCells count="3">
    <mergeCell ref="A16:E16"/>
    <mergeCell ref="A1:E1"/>
    <mergeCell ref="A9:E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26" customWidth="1" style="39" min="1" max="1"/>
    <col width="15" customWidth="1" style="39" min="2" max="3"/>
    <col width="10" customWidth="1" style="39" min="4" max="4"/>
    <col width="15" customWidth="1" style="39" min="5" max="5"/>
  </cols>
  <sheetData>
    <row r="1" ht="21" customHeight="1" s="40">
      <c r="A1" s="41" t="inlineStr">
        <is>
          <t>松藤華奈 コミッション計算 - 8月</t>
        </is>
      </c>
    </row>
    <row r="3" ht="16.5" customHeight="1" s="40">
      <c r="A3" s="43" t="inlineStr">
        <is>
          <t>区分</t>
        </is>
      </c>
      <c r="B3" s="43" t="inlineStr">
        <is>
          <t>売上/数量</t>
        </is>
      </c>
      <c r="C3" s="43" t="inlineStr">
        <is>
          <t>経費控除後</t>
        </is>
      </c>
      <c r="D3" s="43" t="inlineStr">
        <is>
          <t>料率</t>
        </is>
      </c>
      <c r="E3" s="43" t="inlineStr">
        <is>
          <t>コミッション</t>
        </is>
      </c>
    </row>
    <row r="4" ht="15" customHeight="1" s="40">
      <c r="A4" s="57" t="inlineStr">
        <is>
          <t>ご自身の顧客売上</t>
        </is>
      </c>
      <c r="B4" s="67" t="n">
        <v>0</v>
      </c>
      <c r="C4" s="68">
        <f>B4*(1-年間サマリー!$B$29)</f>
        <v/>
      </c>
      <c r="D4" s="69" t="n">
        <v>0.6</v>
      </c>
      <c r="E4" s="52">
        <f>ROUNDDOWN(C4*D4,0)</f>
        <v/>
      </c>
    </row>
    <row r="5" ht="15" customHeight="1" s="40">
      <c r="A5" s="62" t="inlineStr">
        <is>
          <t>施術売上（指名なし）</t>
        </is>
      </c>
      <c r="B5" s="70" t="n">
        <v>485880</v>
      </c>
      <c r="C5" s="68">
        <f>B5*(1-年間サマリー!$B$29)</f>
        <v/>
      </c>
      <c r="D5" s="69" t="n">
        <v>0.4</v>
      </c>
      <c r="E5" s="52">
        <f>ROUNDDOWN(C5*D5,0)</f>
        <v/>
      </c>
    </row>
    <row r="6" ht="15" customHeight="1" s="40">
      <c r="A6" s="62" t="inlineStr">
        <is>
          <t>指名売上</t>
        </is>
      </c>
      <c r="B6" s="70" t="n">
        <v>20280</v>
      </c>
      <c r="C6" s="68">
        <f>B6*(1-年間サマリー!$B$29)</f>
        <v/>
      </c>
      <c r="D6" s="69" t="n">
        <v>0.5</v>
      </c>
      <c r="E6" s="52">
        <f>ROUNDDOWN(C6*D6,0)</f>
        <v/>
      </c>
    </row>
    <row r="7" ht="15" customHeight="1" s="40">
      <c r="A7" s="62" t="inlineStr">
        <is>
          <t>店販売上</t>
        </is>
      </c>
      <c r="B7" s="70" t="n">
        <v>4400</v>
      </c>
      <c r="C7" s="68">
        <f>B7</f>
        <v/>
      </c>
      <c r="D7" s="69" t="n">
        <v>0.05</v>
      </c>
      <c r="E7" s="52">
        <f>ROUNDDOWN(B7*D7,0)</f>
        <v/>
      </c>
    </row>
    <row r="8" ht="15" customHeight="1" s="40">
      <c r="A8" s="62" t="inlineStr">
        <is>
          <t>オプション売上</t>
        </is>
      </c>
      <c r="B8" s="70" t="n">
        <v>22100</v>
      </c>
      <c r="C8" s="68">
        <f>B8</f>
        <v/>
      </c>
      <c r="D8" s="69" t="n">
        <v>0.05</v>
      </c>
      <c r="E8" s="52">
        <f>ROUNDDOWN(B8*D8,0)</f>
        <v/>
      </c>
    </row>
    <row r="9" ht="15" customHeight="1" s="40">
      <c r="A9" s="39" t="n"/>
    </row>
    <row r="10" ht="15" customHeight="1" s="40">
      <c r="A10" s="56" t="inlineStr">
        <is>
          <t>【交通費】</t>
        </is>
      </c>
    </row>
    <row r="11" ht="15" customHeight="1" s="40">
      <c r="A11" s="62" t="inlineStr">
        <is>
          <t>勤務日数</t>
        </is>
      </c>
      <c r="B11" s="71" t="n">
        <v>17</v>
      </c>
      <c r="C11" s="72" t="n"/>
      <c r="D11" s="72" t="n"/>
      <c r="E11" s="72" t="n"/>
    </row>
    <row r="12" ht="15" customHeight="1" s="40">
      <c r="A12" s="62" t="inlineStr">
        <is>
          <t>片道運賃</t>
        </is>
      </c>
      <c r="B12" s="70" t="n">
        <v>160</v>
      </c>
      <c r="C12" s="72" t="n"/>
      <c r="D12" s="72" t="n"/>
      <c r="E12" s="72" t="n"/>
    </row>
    <row r="13" ht="15" customHeight="1" s="40">
      <c r="A13" s="62" t="inlineStr">
        <is>
          <t>交通費（片道×2×勤務日数）</t>
        </is>
      </c>
      <c r="B13" s="72" t="n"/>
      <c r="C13" s="72" t="n"/>
      <c r="D13" s="72" t="n"/>
      <c r="E13" s="52" t="n">
        <v>0</v>
      </c>
    </row>
    <row r="14" ht="15" customHeight="1" s="40"/>
    <row r="15" ht="15" customHeight="1" s="40">
      <c r="A15" s="73" t="inlineStr">
        <is>
          <t>支給合計</t>
        </is>
      </c>
      <c r="B15" s="74" t="n"/>
      <c r="C15" s="74" t="n"/>
      <c r="D15" s="74" t="n"/>
      <c r="E15" s="75">
        <f>SUM(E4:E8)+E13</f>
        <v/>
      </c>
    </row>
    <row r="16" ht="13.5" customHeight="1" s="40">
      <c r="A16" s="39" t="n"/>
    </row>
    <row r="17" ht="15" customHeight="1" s="40">
      <c r="A17" s="42" t="inlineStr">
        <is>
          <t>※ 青セル=入力欄、グレーセル=自動計算、料率は年間サマリーで一元管理</t>
        </is>
      </c>
    </row>
    <row r="18">
      <c r="A18" t="inlineStr">
        <is>
          <t>※7月〜新料率(自己60/指名なし40/指名50/店販オプ5%・交通費なし)。指名料除外。8月フジイ来店なし。</t>
        </is>
      </c>
    </row>
  </sheetData>
  <mergeCells count="3">
    <mergeCell ref="A16:E16"/>
    <mergeCell ref="A1:E1"/>
    <mergeCell ref="A9:E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26" customWidth="1" style="39" min="1" max="1"/>
    <col width="15" customWidth="1" style="39" min="2" max="3"/>
    <col width="10" customWidth="1" style="39" min="4" max="4"/>
    <col width="15" customWidth="1" style="39" min="5" max="5"/>
  </cols>
  <sheetData>
    <row r="1" ht="21" customHeight="1" s="40">
      <c r="A1" s="41" t="inlineStr">
        <is>
          <t>松藤華奈 コミッション計算 - 9月</t>
        </is>
      </c>
    </row>
    <row r="3" ht="16.5" customHeight="1" s="40">
      <c r="A3" s="43" t="inlineStr">
        <is>
          <t>区分</t>
        </is>
      </c>
      <c r="B3" s="43" t="inlineStr">
        <is>
          <t>売上/数量</t>
        </is>
      </c>
      <c r="C3" s="43" t="inlineStr">
        <is>
          <t>経費控除後</t>
        </is>
      </c>
      <c r="D3" s="43" t="inlineStr">
        <is>
          <t>料率</t>
        </is>
      </c>
      <c r="E3" s="43" t="inlineStr">
        <is>
          <t>コミッション</t>
        </is>
      </c>
    </row>
    <row r="4" ht="15" customHeight="1" s="40">
      <c r="A4" s="57" t="inlineStr">
        <is>
          <t>ご自身の顧客売上</t>
        </is>
      </c>
      <c r="B4" s="67" t="n"/>
      <c r="C4" s="68">
        <f>B4*(1-年間サマリー!$B$29)</f>
        <v/>
      </c>
      <c r="D4" s="69">
        <f>年間サマリー!$B$25</f>
        <v/>
      </c>
      <c r="E4" s="52">
        <f>ROUNDDOWN(C4*D4,0)</f>
        <v/>
      </c>
    </row>
    <row r="5" ht="15" customHeight="1" s="40">
      <c r="A5" s="62" t="inlineStr">
        <is>
          <t>施術売上（指名なし）</t>
        </is>
      </c>
      <c r="B5" s="70" t="n"/>
      <c r="C5" s="68">
        <f>B5*(1-年間サマリー!$B$29)</f>
        <v/>
      </c>
      <c r="D5" s="69">
        <f>年間サマリー!$B$26</f>
        <v/>
      </c>
      <c r="E5" s="52">
        <f>ROUNDDOWN(C5*D5,0)</f>
        <v/>
      </c>
    </row>
    <row r="6" ht="15" customHeight="1" s="40">
      <c r="A6" s="62" t="inlineStr">
        <is>
          <t>指名売上</t>
        </is>
      </c>
      <c r="B6" s="70" t="n"/>
      <c r="C6" s="68">
        <f>B6*(1-年間サマリー!$B$29)</f>
        <v/>
      </c>
      <c r="D6" s="69">
        <f>年間サマリー!$B$27</f>
        <v/>
      </c>
      <c r="E6" s="52">
        <f>ROUNDDOWN(C6*D6,0)</f>
        <v/>
      </c>
    </row>
    <row r="7" ht="15" customHeight="1" s="40">
      <c r="A7" s="62" t="inlineStr">
        <is>
          <t>店販売上</t>
        </is>
      </c>
      <c r="B7" s="70" t="n"/>
      <c r="C7" s="68">
        <f>B7</f>
        <v/>
      </c>
      <c r="D7" s="69">
        <f>年間サマリー!$B$28</f>
        <v/>
      </c>
      <c r="E7" s="52">
        <f>ROUNDDOWN(B7*D7,0)</f>
        <v/>
      </c>
    </row>
    <row r="8" ht="15" customHeight="1" s="40">
      <c r="A8" s="62" t="inlineStr">
        <is>
          <t>オプション売上</t>
        </is>
      </c>
      <c r="B8" s="70" t="n"/>
      <c r="C8" s="68">
        <f>B8</f>
        <v/>
      </c>
      <c r="D8" s="69">
        <f>年間サマリー!$B$28</f>
        <v/>
      </c>
      <c r="E8" s="52">
        <f>ROUNDDOWN(B8*D8,0)</f>
        <v/>
      </c>
    </row>
    <row r="9" ht="15" customHeight="1" s="40">
      <c r="A9" s="39" t="n"/>
    </row>
    <row r="10" ht="15" customHeight="1" s="40">
      <c r="A10" s="56" t="inlineStr">
        <is>
          <t>【交通費】</t>
        </is>
      </c>
    </row>
    <row r="11" ht="15" customHeight="1" s="40">
      <c r="A11" s="62" t="inlineStr">
        <is>
          <t>勤務日数</t>
        </is>
      </c>
      <c r="B11" s="71" t="n"/>
      <c r="C11" s="72" t="n"/>
      <c r="D11" s="72" t="n"/>
      <c r="E11" s="72" t="n"/>
    </row>
    <row r="12" ht="15" customHeight="1" s="40">
      <c r="A12" s="62" t="inlineStr">
        <is>
          <t>片道運賃</t>
        </is>
      </c>
      <c r="B12" s="70" t="n">
        <v>160</v>
      </c>
      <c r="C12" s="72" t="n"/>
      <c r="D12" s="72" t="n"/>
      <c r="E12" s="72" t="n"/>
    </row>
    <row r="13" ht="15" customHeight="1" s="40">
      <c r="A13" s="62" t="inlineStr">
        <is>
          <t>交通費（片道×2×勤務日数）</t>
        </is>
      </c>
      <c r="B13" s="72" t="n"/>
      <c r="C13" s="72" t="n"/>
      <c r="D13" s="72" t="n"/>
      <c r="E13" s="52">
        <f>B12*2*B11</f>
        <v/>
      </c>
    </row>
    <row r="14" ht="15" customHeight="1" s="40"/>
    <row r="15" ht="15" customHeight="1" s="40">
      <c r="A15" s="73" t="inlineStr">
        <is>
          <t>支給合計</t>
        </is>
      </c>
      <c r="B15" s="74" t="n"/>
      <c r="C15" s="74" t="n"/>
      <c r="D15" s="74" t="n"/>
      <c r="E15" s="75">
        <f>SUM(E4:E8)+E13</f>
        <v/>
      </c>
    </row>
    <row r="16" ht="13.5" customHeight="1" s="40">
      <c r="A16" s="39" t="n"/>
    </row>
    <row r="17" ht="15" customHeight="1" s="40">
      <c r="A17" s="42" t="inlineStr">
        <is>
          <t>※ 青セル=入力欄、グレーセル=自動計算、料率は年間サマリーで一元管理</t>
        </is>
      </c>
    </row>
  </sheetData>
  <mergeCells count="3">
    <mergeCell ref="A16:E16"/>
    <mergeCell ref="A1:E1"/>
    <mergeCell ref="A9:E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26" customWidth="1" style="39" min="1" max="1"/>
    <col width="15" customWidth="1" style="39" min="2" max="3"/>
    <col width="10" customWidth="1" style="39" min="4" max="4"/>
    <col width="15" customWidth="1" style="39" min="5" max="5"/>
  </cols>
  <sheetData>
    <row r="1" ht="21" customHeight="1" s="40">
      <c r="A1" s="41" t="inlineStr">
        <is>
          <t>松藤華奈 コミッション計算 - 10月</t>
        </is>
      </c>
    </row>
    <row r="3" ht="16.5" customHeight="1" s="40">
      <c r="A3" s="43" t="inlineStr">
        <is>
          <t>区分</t>
        </is>
      </c>
      <c r="B3" s="43" t="inlineStr">
        <is>
          <t>売上/数量</t>
        </is>
      </c>
      <c r="C3" s="43" t="inlineStr">
        <is>
          <t>経費控除後</t>
        </is>
      </c>
      <c r="D3" s="43" t="inlineStr">
        <is>
          <t>料率</t>
        </is>
      </c>
      <c r="E3" s="43" t="inlineStr">
        <is>
          <t>コミッション</t>
        </is>
      </c>
    </row>
    <row r="4" ht="15" customHeight="1" s="40">
      <c r="A4" s="57" t="inlineStr">
        <is>
          <t>ご自身の顧客売上</t>
        </is>
      </c>
      <c r="B4" s="67" t="n"/>
      <c r="C4" s="68">
        <f>B4*(1-年間サマリー!$B$29)</f>
        <v/>
      </c>
      <c r="D4" s="69">
        <f>年間サマリー!$B$25</f>
        <v/>
      </c>
      <c r="E4" s="52">
        <f>ROUNDDOWN(C4*D4,0)</f>
        <v/>
      </c>
    </row>
    <row r="5" ht="15" customHeight="1" s="40">
      <c r="A5" s="62" t="inlineStr">
        <is>
          <t>施術売上（指名なし）</t>
        </is>
      </c>
      <c r="B5" s="70" t="n"/>
      <c r="C5" s="68">
        <f>B5*(1-年間サマリー!$B$29)</f>
        <v/>
      </c>
      <c r="D5" s="69">
        <f>年間サマリー!$B$26</f>
        <v/>
      </c>
      <c r="E5" s="52">
        <f>ROUNDDOWN(C5*D5,0)</f>
        <v/>
      </c>
    </row>
    <row r="6" ht="15" customHeight="1" s="40">
      <c r="A6" s="62" t="inlineStr">
        <is>
          <t>指名売上</t>
        </is>
      </c>
      <c r="B6" s="70" t="n"/>
      <c r="C6" s="68">
        <f>B6*(1-年間サマリー!$B$29)</f>
        <v/>
      </c>
      <c r="D6" s="69">
        <f>年間サマリー!$B$27</f>
        <v/>
      </c>
      <c r="E6" s="52">
        <f>ROUNDDOWN(C6*D6,0)</f>
        <v/>
      </c>
    </row>
    <row r="7" ht="15" customHeight="1" s="40">
      <c r="A7" s="62" t="inlineStr">
        <is>
          <t>店販売上</t>
        </is>
      </c>
      <c r="B7" s="70" t="n"/>
      <c r="C7" s="68">
        <f>B7</f>
        <v/>
      </c>
      <c r="D7" s="69">
        <f>年間サマリー!$B$28</f>
        <v/>
      </c>
      <c r="E7" s="52">
        <f>ROUNDDOWN(B7*D7,0)</f>
        <v/>
      </c>
    </row>
    <row r="8" ht="15" customHeight="1" s="40">
      <c r="A8" s="62" t="inlineStr">
        <is>
          <t>オプション売上</t>
        </is>
      </c>
      <c r="B8" s="70" t="n"/>
      <c r="C8" s="68">
        <f>B8</f>
        <v/>
      </c>
      <c r="D8" s="69">
        <f>年間サマリー!$B$28</f>
        <v/>
      </c>
      <c r="E8" s="52">
        <f>ROUNDDOWN(B8*D8,0)</f>
        <v/>
      </c>
    </row>
    <row r="9" ht="15" customHeight="1" s="40">
      <c r="A9" s="39" t="n"/>
    </row>
    <row r="10" ht="15" customHeight="1" s="40">
      <c r="A10" s="56" t="inlineStr">
        <is>
          <t>【交通費】</t>
        </is>
      </c>
    </row>
    <row r="11" ht="15" customHeight="1" s="40">
      <c r="A11" s="62" t="inlineStr">
        <is>
          <t>勤務日数</t>
        </is>
      </c>
      <c r="B11" s="71" t="n"/>
      <c r="C11" s="72" t="n"/>
      <c r="D11" s="72" t="n"/>
      <c r="E11" s="72" t="n"/>
    </row>
    <row r="12" ht="15" customHeight="1" s="40">
      <c r="A12" s="62" t="inlineStr">
        <is>
          <t>片道運賃</t>
        </is>
      </c>
      <c r="B12" s="70" t="n">
        <v>160</v>
      </c>
      <c r="C12" s="72" t="n"/>
      <c r="D12" s="72" t="n"/>
      <c r="E12" s="72" t="n"/>
    </row>
    <row r="13" ht="15" customHeight="1" s="40">
      <c r="A13" s="62" t="inlineStr">
        <is>
          <t>交通費（片道×2×勤務日数）</t>
        </is>
      </c>
      <c r="B13" s="72" t="n"/>
      <c r="C13" s="72" t="n"/>
      <c r="D13" s="72" t="n"/>
      <c r="E13" s="52">
        <f>B12*2*B11</f>
        <v/>
      </c>
    </row>
    <row r="14" ht="15" customHeight="1" s="40"/>
    <row r="15" ht="15" customHeight="1" s="40">
      <c r="A15" s="73" t="inlineStr">
        <is>
          <t>支給合計</t>
        </is>
      </c>
      <c r="B15" s="74" t="n"/>
      <c r="C15" s="74" t="n"/>
      <c r="D15" s="74" t="n"/>
      <c r="E15" s="75">
        <f>SUM(E4:E8)+E13</f>
        <v/>
      </c>
    </row>
    <row r="16" ht="13.5" customHeight="1" s="40">
      <c r="A16" s="39" t="n"/>
    </row>
    <row r="17" ht="15" customHeight="1" s="40">
      <c r="A17" s="42" t="inlineStr">
        <is>
          <t>※ 青セル=入力欄、グレーセル=自動計算、料率は年間サマリーで一元管理</t>
        </is>
      </c>
    </row>
  </sheetData>
  <mergeCells count="3">
    <mergeCell ref="A16:E16"/>
    <mergeCell ref="A1:E1"/>
    <mergeCell ref="A9:E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26" customWidth="1" style="39" min="1" max="1"/>
    <col width="15" customWidth="1" style="39" min="2" max="3"/>
    <col width="10" customWidth="1" style="39" min="4" max="4"/>
    <col width="15" customWidth="1" style="39" min="5" max="5"/>
  </cols>
  <sheetData>
    <row r="1" ht="21" customHeight="1" s="40">
      <c r="A1" s="41" t="inlineStr">
        <is>
          <t>松藤華奈 コミッション計算 - 11月</t>
        </is>
      </c>
    </row>
    <row r="3" ht="16.5" customHeight="1" s="40">
      <c r="A3" s="43" t="inlineStr">
        <is>
          <t>区分</t>
        </is>
      </c>
      <c r="B3" s="43" t="inlineStr">
        <is>
          <t>売上/数量</t>
        </is>
      </c>
      <c r="C3" s="43" t="inlineStr">
        <is>
          <t>経費控除後</t>
        </is>
      </c>
      <c r="D3" s="43" t="inlineStr">
        <is>
          <t>料率</t>
        </is>
      </c>
      <c r="E3" s="43" t="inlineStr">
        <is>
          <t>コミッション</t>
        </is>
      </c>
    </row>
    <row r="4" ht="15" customHeight="1" s="40">
      <c r="A4" s="57" t="inlineStr">
        <is>
          <t>ご自身の顧客売上</t>
        </is>
      </c>
      <c r="B4" s="67" t="n"/>
      <c r="C4" s="68">
        <f>B4*(1-年間サマリー!$B$29)</f>
        <v/>
      </c>
      <c r="D4" s="69">
        <f>年間サマリー!$B$25</f>
        <v/>
      </c>
      <c r="E4" s="52">
        <f>ROUNDDOWN(C4*D4,0)</f>
        <v/>
      </c>
    </row>
    <row r="5" ht="15" customHeight="1" s="40">
      <c r="A5" s="62" t="inlineStr">
        <is>
          <t>施術売上（指名なし）</t>
        </is>
      </c>
      <c r="B5" s="70" t="n"/>
      <c r="C5" s="68">
        <f>B5*(1-年間サマリー!$B$29)</f>
        <v/>
      </c>
      <c r="D5" s="69">
        <f>年間サマリー!$B$26</f>
        <v/>
      </c>
      <c r="E5" s="52">
        <f>ROUNDDOWN(C5*D5,0)</f>
        <v/>
      </c>
    </row>
    <row r="6" ht="15" customHeight="1" s="40">
      <c r="A6" s="62" t="inlineStr">
        <is>
          <t>指名売上</t>
        </is>
      </c>
      <c r="B6" s="70" t="n"/>
      <c r="C6" s="68">
        <f>B6*(1-年間サマリー!$B$29)</f>
        <v/>
      </c>
      <c r="D6" s="69">
        <f>年間サマリー!$B$27</f>
        <v/>
      </c>
      <c r="E6" s="52">
        <f>ROUNDDOWN(C6*D6,0)</f>
        <v/>
      </c>
    </row>
    <row r="7" ht="15" customHeight="1" s="40">
      <c r="A7" s="62" t="inlineStr">
        <is>
          <t>店販売上</t>
        </is>
      </c>
      <c r="B7" s="70" t="n"/>
      <c r="C7" s="68">
        <f>B7</f>
        <v/>
      </c>
      <c r="D7" s="69">
        <f>年間サマリー!$B$28</f>
        <v/>
      </c>
      <c r="E7" s="52">
        <f>ROUNDDOWN(B7*D7,0)</f>
        <v/>
      </c>
    </row>
    <row r="8" ht="15" customHeight="1" s="40">
      <c r="A8" s="62" t="inlineStr">
        <is>
          <t>オプション売上</t>
        </is>
      </c>
      <c r="B8" s="70" t="n"/>
      <c r="C8" s="68">
        <f>B8</f>
        <v/>
      </c>
      <c r="D8" s="69">
        <f>年間サマリー!$B$28</f>
        <v/>
      </c>
      <c r="E8" s="52">
        <f>ROUNDDOWN(B8*D8,0)</f>
        <v/>
      </c>
    </row>
    <row r="9" ht="15" customHeight="1" s="40">
      <c r="A9" s="39" t="n"/>
    </row>
    <row r="10" ht="15" customHeight="1" s="40">
      <c r="A10" s="56" t="inlineStr">
        <is>
          <t>【交通費】</t>
        </is>
      </c>
    </row>
    <row r="11" ht="15" customHeight="1" s="40">
      <c r="A11" s="62" t="inlineStr">
        <is>
          <t>勤務日数</t>
        </is>
      </c>
      <c r="B11" s="71" t="n"/>
      <c r="C11" s="72" t="n"/>
      <c r="D11" s="72" t="n"/>
      <c r="E11" s="72" t="n"/>
    </row>
    <row r="12" ht="15" customHeight="1" s="40">
      <c r="A12" s="62" t="inlineStr">
        <is>
          <t>片道運賃</t>
        </is>
      </c>
      <c r="B12" s="70" t="n">
        <v>160</v>
      </c>
      <c r="C12" s="72" t="n"/>
      <c r="D12" s="72" t="n"/>
      <c r="E12" s="72" t="n"/>
    </row>
    <row r="13" ht="15" customHeight="1" s="40">
      <c r="A13" s="62" t="inlineStr">
        <is>
          <t>交通費（片道×2×勤務日数）</t>
        </is>
      </c>
      <c r="B13" s="72" t="n"/>
      <c r="C13" s="72" t="n"/>
      <c r="D13" s="72" t="n"/>
      <c r="E13" s="52">
        <f>B12*2*B11</f>
        <v/>
      </c>
    </row>
    <row r="14" ht="15" customHeight="1" s="40"/>
    <row r="15" ht="15" customHeight="1" s="40">
      <c r="A15" s="73" t="inlineStr">
        <is>
          <t>支給合計</t>
        </is>
      </c>
      <c r="B15" s="74" t="n"/>
      <c r="C15" s="74" t="n"/>
      <c r="D15" s="74" t="n"/>
      <c r="E15" s="75">
        <f>SUM(E4:E8)+E13</f>
        <v/>
      </c>
    </row>
    <row r="16" ht="13.5" customHeight="1" s="40">
      <c r="A16" s="39" t="n"/>
    </row>
    <row r="17" ht="15" customHeight="1" s="40">
      <c r="A17" s="42" t="inlineStr">
        <is>
          <t>※ 青セル=入力欄、グレーセル=自動計算、料率は年間サマリーで一元管理</t>
        </is>
      </c>
    </row>
  </sheetData>
  <mergeCells count="3">
    <mergeCell ref="A16:E16"/>
    <mergeCell ref="A1:E1"/>
    <mergeCell ref="A9:E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26" customWidth="1" style="39" min="1" max="1"/>
    <col width="15" customWidth="1" style="39" min="2" max="3"/>
    <col width="10" customWidth="1" style="39" min="4" max="4"/>
    <col width="15" customWidth="1" style="39" min="5" max="5"/>
  </cols>
  <sheetData>
    <row r="1" ht="21" customHeight="1" s="40">
      <c r="A1" s="41" t="inlineStr">
        <is>
          <t>松藤華奈 コミッション計算 - 12月</t>
        </is>
      </c>
    </row>
    <row r="3" ht="16.5" customHeight="1" s="40">
      <c r="A3" s="43" t="inlineStr">
        <is>
          <t>区分</t>
        </is>
      </c>
      <c r="B3" s="43" t="inlineStr">
        <is>
          <t>売上/数量</t>
        </is>
      </c>
      <c r="C3" s="43" t="inlineStr">
        <is>
          <t>経費控除後</t>
        </is>
      </c>
      <c r="D3" s="43" t="inlineStr">
        <is>
          <t>料率</t>
        </is>
      </c>
      <c r="E3" s="43" t="inlineStr">
        <is>
          <t>コミッション</t>
        </is>
      </c>
    </row>
    <row r="4" ht="15" customHeight="1" s="40">
      <c r="A4" s="57" t="inlineStr">
        <is>
          <t>ご自身の顧客売上</t>
        </is>
      </c>
      <c r="B4" s="67" t="n"/>
      <c r="C4" s="68">
        <f>B4*(1-年間サマリー!$B$29)</f>
        <v/>
      </c>
      <c r="D4" s="69">
        <f>年間サマリー!$B$25</f>
        <v/>
      </c>
      <c r="E4" s="52">
        <f>ROUNDDOWN(C4*D4,0)</f>
        <v/>
      </c>
    </row>
    <row r="5" ht="15" customHeight="1" s="40">
      <c r="A5" s="62" t="inlineStr">
        <is>
          <t>施術売上（指名なし）</t>
        </is>
      </c>
      <c r="B5" s="70" t="n"/>
      <c r="C5" s="68">
        <f>B5*(1-年間サマリー!$B$29)</f>
        <v/>
      </c>
      <c r="D5" s="69">
        <f>年間サマリー!$B$26</f>
        <v/>
      </c>
      <c r="E5" s="52">
        <f>ROUNDDOWN(C5*D5,0)</f>
        <v/>
      </c>
    </row>
    <row r="6" ht="15" customHeight="1" s="40">
      <c r="A6" s="62" t="inlineStr">
        <is>
          <t>指名売上</t>
        </is>
      </c>
      <c r="B6" s="70" t="n"/>
      <c r="C6" s="68">
        <f>B6*(1-年間サマリー!$B$29)</f>
        <v/>
      </c>
      <c r="D6" s="69">
        <f>年間サマリー!$B$27</f>
        <v/>
      </c>
      <c r="E6" s="52">
        <f>ROUNDDOWN(C6*D6,0)</f>
        <v/>
      </c>
    </row>
    <row r="7" ht="15" customHeight="1" s="40">
      <c r="A7" s="62" t="inlineStr">
        <is>
          <t>店販売上</t>
        </is>
      </c>
      <c r="B7" s="70" t="n"/>
      <c r="C7" s="68">
        <f>B7</f>
        <v/>
      </c>
      <c r="D7" s="69">
        <f>年間サマリー!$B$28</f>
        <v/>
      </c>
      <c r="E7" s="52">
        <f>ROUNDDOWN(B7*D7,0)</f>
        <v/>
      </c>
    </row>
    <row r="8" ht="15" customHeight="1" s="40">
      <c r="A8" s="62" t="inlineStr">
        <is>
          <t>オプション売上</t>
        </is>
      </c>
      <c r="B8" s="70" t="n"/>
      <c r="C8" s="68">
        <f>B8</f>
        <v/>
      </c>
      <c r="D8" s="69">
        <f>年間サマリー!$B$28</f>
        <v/>
      </c>
      <c r="E8" s="52">
        <f>ROUNDDOWN(B8*D8,0)</f>
        <v/>
      </c>
    </row>
    <row r="9" ht="15" customHeight="1" s="40">
      <c r="A9" s="39" t="n"/>
    </row>
    <row r="10" ht="15" customHeight="1" s="40">
      <c r="A10" s="56" t="inlineStr">
        <is>
          <t>【交通費】</t>
        </is>
      </c>
    </row>
    <row r="11" ht="15" customHeight="1" s="40">
      <c r="A11" s="62" t="inlineStr">
        <is>
          <t>勤務日数</t>
        </is>
      </c>
      <c r="B11" s="71" t="n"/>
      <c r="C11" s="72" t="n"/>
      <c r="D11" s="72" t="n"/>
      <c r="E11" s="72" t="n"/>
    </row>
    <row r="12" ht="15" customHeight="1" s="40">
      <c r="A12" s="62" t="inlineStr">
        <is>
          <t>片道運賃</t>
        </is>
      </c>
      <c r="B12" s="70" t="n">
        <v>160</v>
      </c>
      <c r="C12" s="72" t="n"/>
      <c r="D12" s="72" t="n"/>
      <c r="E12" s="72" t="n"/>
    </row>
    <row r="13" ht="15" customHeight="1" s="40">
      <c r="A13" s="62" t="inlineStr">
        <is>
          <t>交通費（片道×2×勤務日数）</t>
        </is>
      </c>
      <c r="B13" s="72" t="n"/>
      <c r="C13" s="72" t="n"/>
      <c r="D13" s="72" t="n"/>
      <c r="E13" s="52">
        <f>B12*2*B11</f>
        <v/>
      </c>
    </row>
    <row r="14" ht="15" customHeight="1" s="40"/>
    <row r="15" ht="15" customHeight="1" s="40">
      <c r="A15" s="73" t="inlineStr">
        <is>
          <t>支給合計</t>
        </is>
      </c>
      <c r="B15" s="74" t="n"/>
      <c r="C15" s="74" t="n"/>
      <c r="D15" s="74" t="n"/>
      <c r="E15" s="75">
        <f>SUM(E4:E8)+E13</f>
        <v/>
      </c>
    </row>
    <row r="16" ht="13.5" customHeight="1" s="40">
      <c r="A16" s="39" t="n"/>
    </row>
    <row r="17" ht="15" customHeight="1" s="40">
      <c r="A17" s="42" t="inlineStr">
        <is>
          <t>※ 青セル=入力欄、グレーセル=自動計算、料率は年間サマリーで一元管理</t>
        </is>
      </c>
    </row>
  </sheetData>
  <mergeCells count="3">
    <mergeCell ref="A16:E16"/>
    <mergeCell ref="A1:E1"/>
    <mergeCell ref="A9:E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2026-05-21T00:26:01Z</dcterms:created>
  <dcterms:modified xsi:type="dcterms:W3CDTF">2026-09-17T09:35:55Z</dcterms:modified>
  <cp:lastModifiedBy>卓也 岡田</cp:lastModifiedBy>
  <cp:revision>0</cp:revision>
</cp:coreProperties>
</file>